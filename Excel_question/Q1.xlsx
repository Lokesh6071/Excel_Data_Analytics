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whitescholar\Excel Project\Excel Project WS\"/>
    </mc:Choice>
  </mc:AlternateContent>
  <xr:revisionPtr revIDLastSave="0" documentId="13_ncr:1_{FD406914-D0B7-4811-8676-F0B2BD79F8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7" i="1"/>
  <c r="R1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R11" i="1"/>
  <c r="R10" i="1"/>
  <c r="R5" i="1"/>
  <c r="R7" i="1"/>
  <c r="R6" i="1"/>
  <c r="R4" i="1"/>
  <c r="R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</calcChain>
</file>

<file path=xl/sharedStrings.xml><?xml version="1.0" encoding="utf-8"?>
<sst xmlns="http://schemas.openxmlformats.org/spreadsheetml/2006/main" count="824" uniqueCount="291">
  <si>
    <t>Order ID</t>
  </si>
  <si>
    <t>Date</t>
  </si>
  <si>
    <t>Customer Name</t>
  </si>
  <si>
    <t>Region</t>
  </si>
  <si>
    <t>Product Category</t>
  </si>
  <si>
    <t>Product Name</t>
  </si>
  <si>
    <t>Quantity</t>
  </si>
  <si>
    <t>Unit Price</t>
  </si>
  <si>
    <t>Discount</t>
  </si>
  <si>
    <t>Salesperson</t>
  </si>
  <si>
    <t>Payment Mode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</si>
  <si>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</si>
  <si>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</si>
  <si>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</si>
  <si>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</si>
  <si>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</si>
  <si>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</si>
  <si>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</si>
  <si>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</si>
  <si>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</si>
  <si>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</si>
  <si>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</si>
  <si>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</si>
  <si>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</si>
  <si>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</si>
  <si>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</si>
  <si>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</si>
  <si>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</si>
  <si>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</si>
  <si>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</si>
  <si>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</si>
  <si>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</si>
  <si>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</si>
  <si>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</si>
  <si>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</si>
  <si>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</si>
  <si>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</si>
  <si>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</si>
  <si>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</si>
  <si>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</si>
  <si>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</si>
  <si>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</si>
  <si>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</si>
  <si>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</si>
  <si>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</si>
  <si>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</si>
  <si>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</si>
  <si>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</si>
  <si>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</si>
  <si>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</si>
  <si>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</si>
  <si>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</si>
  <si>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</si>
  <si>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</si>
  <si>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</si>
  <si>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</si>
  <si>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</si>
  <si>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</si>
  <si>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</si>
  <si>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</si>
  <si>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</si>
  <si>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</si>
  <si>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</si>
  <si>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</si>
  <si>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</si>
  <si>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</si>
  <si>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</si>
  <si>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</si>
  <si>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</si>
  <si>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</si>
  <si>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</si>
  <si>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</si>
  <si>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</si>
  <si>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</si>
  <si>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</si>
  <si>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</si>
  <si>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</si>
  <si>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</si>
  <si>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</si>
  <si>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</si>
  <si>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</si>
  <si>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</si>
  <si>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</si>
  <si>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</si>
  <si>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</si>
  <si>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</si>
  <si>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</si>
  <si>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</si>
  <si>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</si>
  <si>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</si>
  <si>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</si>
  <si>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</si>
  <si>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</si>
  <si>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</si>
  <si>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</si>
  <si>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</si>
  <si>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</si>
  <si>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</si>
  <si>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</si>
  <si>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</si>
  <si>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</si>
  <si>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</si>
  <si>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</si>
  <si>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</si>
  <si>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</si>
  <si>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</si>
  <si>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</si>
  <si>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</si>
  <si>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</si>
  <si>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</si>
  <si>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</si>
  <si>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2024-04-02</t>
  </si>
  <si>
    <t>2024-04-20</t>
  </si>
  <si>
    <t>2024-04-24</t>
  </si>
  <si>
    <t>2024-05-31</t>
  </si>
  <si>
    <t>2024-05-10</t>
  </si>
  <si>
    <t>2024-05-06</t>
  </si>
  <si>
    <t>2024-05-20</t>
  </si>
  <si>
    <t>2024-05-02</t>
  </si>
  <si>
    <t>2024-04-30</t>
  </si>
  <si>
    <t>2024-05-29</t>
  </si>
  <si>
    <t>2024-04-16</t>
  </si>
  <si>
    <t>2024-04-21</t>
  </si>
  <si>
    <t>2024-05-11</t>
  </si>
  <si>
    <t>2024-05-05</t>
  </si>
  <si>
    <t>2024-04-06</t>
  </si>
  <si>
    <t>2024-05-12</t>
  </si>
  <si>
    <t>2024-04-04</t>
  </si>
  <si>
    <t>2024-05-17</t>
  </si>
  <si>
    <t>2024-04-07</t>
  </si>
  <si>
    <t>2024-04-05</t>
  </si>
  <si>
    <t>2024-04-19</t>
  </si>
  <si>
    <t>2024-04-15</t>
  </si>
  <si>
    <t>2024-05-13</t>
  </si>
  <si>
    <t>2024-04-09</t>
  </si>
  <si>
    <t>2024-05-21</t>
  </si>
  <si>
    <t>2024-04-25</t>
  </si>
  <si>
    <t>2024-04-28</t>
  </si>
  <si>
    <t>2024-04-01</t>
  </si>
  <si>
    <t>2024-04-23</t>
  </si>
  <si>
    <t>2024-05-23</t>
  </si>
  <si>
    <t>2024-04-22</t>
  </si>
  <si>
    <t>2024-05-26</t>
  </si>
  <si>
    <t>2024-04-26</t>
  </si>
  <si>
    <t>2024-04-10</t>
  </si>
  <si>
    <t>2024-05-14</t>
  </si>
  <si>
    <t>2024-05-25</t>
  </si>
  <si>
    <t>2024-05-27</t>
  </si>
  <si>
    <t>2024-04-29</t>
  </si>
  <si>
    <t>2024-04-08</t>
  </si>
  <si>
    <t>2024-05-04</t>
  </si>
  <si>
    <t>2024-05-01</t>
  </si>
  <si>
    <t>2024-04-12</t>
  </si>
  <si>
    <t>2024-04-27</t>
  </si>
  <si>
    <t>2024-05-30</t>
  </si>
  <si>
    <t>2024-04-03</t>
  </si>
  <si>
    <t>2024-05-08</t>
  </si>
  <si>
    <t>2024-05-07</t>
  </si>
  <si>
    <t>2024-04-13</t>
  </si>
  <si>
    <t>2024-04-14</t>
  </si>
  <si>
    <t>2024-05-28</t>
  </si>
  <si>
    <t>2024-05-24</t>
  </si>
  <si>
    <t>2024-05-22</t>
  </si>
  <si>
    <t>2024-05-19</t>
  </si>
  <si>
    <t>Sarah Clark</t>
  </si>
  <si>
    <t>Sophia Scott</t>
  </si>
  <si>
    <t>Sarah Harris</t>
  </si>
  <si>
    <t>Benjamin Wilson</t>
  </si>
  <si>
    <t>Henry Smith</t>
  </si>
  <si>
    <t>Ethan Taylor</t>
  </si>
  <si>
    <t>Isabella Moore</t>
  </si>
  <si>
    <t>Ethan Clark</t>
  </si>
  <si>
    <t>David Anderson</t>
  </si>
  <si>
    <t>Michael Taylor</t>
  </si>
  <si>
    <t>James Lee</t>
  </si>
  <si>
    <t>Henry Wilson</t>
  </si>
  <si>
    <t>Emily Lewis</t>
  </si>
  <si>
    <t>Mia Davis</t>
  </si>
  <si>
    <t>Benjamin Scott</t>
  </si>
  <si>
    <t>Sarah White</t>
  </si>
  <si>
    <t>James Taylor</t>
  </si>
  <si>
    <t>Isabella Garcia</t>
  </si>
  <si>
    <t>Emily Wilson</t>
  </si>
  <si>
    <t>Liam Martin</t>
  </si>
  <si>
    <t>Ethan Jackson</t>
  </si>
  <si>
    <t>Benjamin Johnson</t>
  </si>
  <si>
    <t>Sophia Lewis</t>
  </si>
  <si>
    <t>Emily Scott</t>
  </si>
  <si>
    <t>Liam Smith</t>
  </si>
  <si>
    <t>Lucas Anderson</t>
  </si>
  <si>
    <t>John Johnson</t>
  </si>
  <si>
    <t>Emma Taylor</t>
  </si>
  <si>
    <t>Michael Smith</t>
  </si>
  <si>
    <t>Sarah Taylor</t>
  </si>
  <si>
    <t>Benjamin Lewis</t>
  </si>
  <si>
    <t>Charlotte Thompson</t>
  </si>
  <si>
    <t>Ethan Moore</t>
  </si>
  <si>
    <t>Mia Anderson</t>
  </si>
  <si>
    <t>Olivia Smith</t>
  </si>
  <si>
    <t>Charlotte Wilson</t>
  </si>
  <si>
    <t>John Garcia</t>
  </si>
  <si>
    <t>Emma Garcia</t>
  </si>
  <si>
    <t>Sophia Thomas</t>
  </si>
  <si>
    <t>Lucas Thompson</t>
  </si>
  <si>
    <t>Liam Scott</t>
  </si>
  <si>
    <t>Sophia Brown</t>
  </si>
  <si>
    <t>Isabella Harris</t>
  </si>
  <si>
    <t>Lucas Johnson</t>
  </si>
  <si>
    <t>Ethan Wilson</t>
  </si>
  <si>
    <t>Emma Johnson</t>
  </si>
  <si>
    <t>Henry Martin</t>
  </si>
  <si>
    <t>Charlotte Moore</t>
  </si>
  <si>
    <t>Michael Garcia</t>
  </si>
  <si>
    <t>Sarah Scott</t>
  </si>
  <si>
    <t>Emily Martin</t>
  </si>
  <si>
    <t>Emily Taylor</t>
  </si>
  <si>
    <t>Henry Clark</t>
  </si>
  <si>
    <t>Lucas Scott</t>
  </si>
  <si>
    <t>David Thomas</t>
  </si>
  <si>
    <t>Liam Jackson</t>
  </si>
  <si>
    <t>Olivia Harris</t>
  </si>
  <si>
    <t>Charlotte Brown</t>
  </si>
  <si>
    <t>Ava Jackson</t>
  </si>
  <si>
    <t>James Scott</t>
  </si>
  <si>
    <t>David Smith</t>
  </si>
  <si>
    <t>Amelia Wilson</t>
  </si>
  <si>
    <t>Henry White</t>
  </si>
  <si>
    <t>Ava Davis</t>
  </si>
  <si>
    <t>David Garcia</t>
  </si>
  <si>
    <t>Ethan White</t>
  </si>
  <si>
    <t>James Jackson</t>
  </si>
  <si>
    <t>Michael Martin</t>
  </si>
  <si>
    <t>Ava Smith</t>
  </si>
  <si>
    <t>James Johnson</t>
  </si>
  <si>
    <t>Michael Thomas</t>
  </si>
  <si>
    <t>Isabella Brown</t>
  </si>
  <si>
    <t>Liam Harris</t>
  </si>
  <si>
    <t>Michael Lee</t>
  </si>
  <si>
    <t>Ethan Brown</t>
  </si>
  <si>
    <t>Benjamin Brown</t>
  </si>
  <si>
    <t>Michael Martinez</t>
  </si>
  <si>
    <t>Henry Johnson</t>
  </si>
  <si>
    <t>Isabella Johnson</t>
  </si>
  <si>
    <t>Emma Martinez</t>
  </si>
  <si>
    <t>Amelia Clark</t>
  </si>
  <si>
    <t>Ava Thompson</t>
  </si>
  <si>
    <t>Noah Thomas</t>
  </si>
  <si>
    <t>Ava Martin</t>
  </si>
  <si>
    <t>Benjamin Thomas</t>
  </si>
  <si>
    <t>South</t>
  </si>
  <si>
    <t>East</t>
  </si>
  <si>
    <t>West</t>
  </si>
  <si>
    <t>North</t>
  </si>
  <si>
    <t>Clothing</t>
  </si>
  <si>
    <t>Electronics</t>
  </si>
  <si>
    <t>Furniture</t>
  </si>
  <si>
    <t>Formal Shirt</t>
  </si>
  <si>
    <t>Bluetooth Speaker</t>
  </si>
  <si>
    <t>Smartwatch</t>
  </si>
  <si>
    <t>Study Table</t>
  </si>
  <si>
    <t>Jeans</t>
  </si>
  <si>
    <t>Office Chair</t>
  </si>
  <si>
    <t>Laptop</t>
  </si>
  <si>
    <t>T-Shirt</t>
  </si>
  <si>
    <t>Bookshelf</t>
  </si>
  <si>
    <t>Power Bank</t>
  </si>
  <si>
    <t>Earphones</t>
  </si>
  <si>
    <t>Denim Jacket</t>
  </si>
  <si>
    <t>Sneakers</t>
  </si>
  <si>
    <t>Sofa Set</t>
  </si>
  <si>
    <t>Dining Table</t>
  </si>
  <si>
    <t>A. Sharma</t>
  </si>
  <si>
    <t>R. Mehta</t>
  </si>
  <si>
    <t>N. Patel</t>
  </si>
  <si>
    <t>S. Rao</t>
  </si>
  <si>
    <t>Cash</t>
  </si>
  <si>
    <t>Credit Card</t>
  </si>
  <si>
    <t>UPI</t>
  </si>
  <si>
    <t>Amount</t>
  </si>
  <si>
    <t>Total Amount</t>
  </si>
  <si>
    <t>Average Amount</t>
  </si>
  <si>
    <t>Total Salesperson</t>
  </si>
  <si>
    <t>Max Amount</t>
  </si>
  <si>
    <t>Min Amount</t>
  </si>
  <si>
    <t>Total salesperson in south region</t>
  </si>
  <si>
    <t>Average Net Sales for orders paid through Credit Card</t>
  </si>
  <si>
    <t>Max amount in East region</t>
  </si>
  <si>
    <t>Total Quantity Sold for Furniture category in the East region</t>
  </si>
  <si>
    <t xml:space="preserve"> Average Discount % for Clothing category orders handled by S. Rao</t>
  </si>
  <si>
    <t>5th smallest Quantity ordered across all transactions</t>
  </si>
  <si>
    <t>discounted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</si>
</sst>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9" fontId="0" fillId="0" borderId="1" xfId="0" quotePrefix="1" applyNumberFormat="1" applyBorder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10" fontId="1" fillId="2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10" fontId="0" fillId="0" borderId="0" xfId="0" applyNumberFormat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zoomScale="99" workbookViewId="0">
      <selection activeCell="O9" sqref="O9"/>
    </sheetView>
  </sheetViews>
  <sheetFormatPr defaultRowHeight="14.4" x14ac:dyDescent="0.3"/>
  <cols>
    <col min="2" max="2" width="10.33203125" bestFit="1" customWidth="1"/>
    <col min="3" max="3" width="17.88671875" bestFit="1" customWidth="1"/>
    <col min="4" max="4" width="9.77734375" customWidth="1"/>
    <col min="5" max="5" width="15.77734375" bestFit="1" customWidth="1"/>
    <col min="6" max="6" width="16.109375" bestFit="1" customWidth="1"/>
    <col min="9" max="9" width="8.33203125" bestFit="1" customWidth="1"/>
    <col min="10" max="10" width="11" bestFit="1" customWidth="1"/>
    <col min="11" max="11" width="14.109375" bestFit="1" customWidth="1"/>
    <col min="13" max="13" width="10.44140625" bestFit="1" customWidth="1"/>
    <col min="17" max="17" width="58.21875" customWidth="1"/>
    <col min="18" max="18" width="9.109375" bestFit="1" customWidth="1"/>
  </cols>
  <sheetData>
    <row r="1" spans="1: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278</v>
      </c>
      <c r="M1" s="7" t="s">
        <v>290</v>
      </c>
    </row>
    <row r="2" spans="1:18" x14ac:dyDescent="0.3">
      <c r="A2" s="3" t="s">
        <v>11</v>
      </c>
      <c r="B2" s="3" t="s">
        <v>111</v>
      </c>
      <c r="C2" s="3" t="s">
        <v>164</v>
      </c>
      <c r="D2" s="3" t="s">
        <v>249</v>
      </c>
      <c r="E2" s="3" t="s">
        <v>253</v>
      </c>
      <c r="F2" s="3" t="s">
        <v>256</v>
      </c>
      <c r="G2" s="3">
        <v>1</v>
      </c>
      <c r="H2" s="3">
        <v>10336</v>
      </c>
      <c r="I2" s="4">
        <v>0.1</v>
      </c>
      <c r="J2" s="3" t="s">
        <v>271</v>
      </c>
      <c r="K2" s="3" t="s">
        <v>275</v>
      </c>
      <c r="L2" s="3">
        <f>G2*H2</f>
        <v>10336</v>
      </c>
      <c r="M2">
        <f>I2*H2</f>
        <v>1033.6000000000001</v>
      </c>
    </row>
    <row r="3" spans="1:18" x14ac:dyDescent="0.3">
      <c r="A3" s="3" t="s">
        <v>12</v>
      </c>
      <c r="B3" s="3" t="s">
        <v>112</v>
      </c>
      <c r="C3" s="3" t="s">
        <v>165</v>
      </c>
      <c r="D3" s="3" t="s">
        <v>249</v>
      </c>
      <c r="E3" s="3" t="s">
        <v>254</v>
      </c>
      <c r="F3" s="3" t="s">
        <v>257</v>
      </c>
      <c r="G3" s="3">
        <v>5</v>
      </c>
      <c r="H3" s="3">
        <v>20926</v>
      </c>
      <c r="I3" s="9">
        <v>0.08</v>
      </c>
      <c r="J3" s="3" t="s">
        <v>272</v>
      </c>
      <c r="K3" s="3" t="s">
        <v>276</v>
      </c>
      <c r="L3" s="3">
        <f t="shared" ref="L3:L66" si="0">G3*H3</f>
        <v>104630</v>
      </c>
      <c r="M3">
        <f t="shared" ref="M3:M66" si="1">I3*H3</f>
        <v>1674.08</v>
      </c>
      <c r="Q3" s="2" t="s">
        <v>279</v>
      </c>
      <c r="R3">
        <f>SUM(L:L)</f>
        <v>7941449</v>
      </c>
    </row>
    <row r="4" spans="1:18" x14ac:dyDescent="0.3">
      <c r="A4" s="3" t="s">
        <v>13</v>
      </c>
      <c r="B4" s="3" t="s">
        <v>113</v>
      </c>
      <c r="C4" s="3" t="s">
        <v>166</v>
      </c>
      <c r="D4" s="3" t="s">
        <v>250</v>
      </c>
      <c r="E4" s="3" t="s">
        <v>254</v>
      </c>
      <c r="F4" s="3" t="s">
        <v>258</v>
      </c>
      <c r="G4" s="3">
        <v>3</v>
      </c>
      <c r="H4" s="3">
        <v>37296</v>
      </c>
      <c r="I4" s="9">
        <v>0</v>
      </c>
      <c r="J4" s="3" t="s">
        <v>271</v>
      </c>
      <c r="K4" s="3" t="s">
        <v>276</v>
      </c>
      <c r="L4" s="3">
        <f t="shared" si="0"/>
        <v>111888</v>
      </c>
      <c r="M4">
        <f t="shared" si="1"/>
        <v>0</v>
      </c>
      <c r="Q4" s="2" t="s">
        <v>280</v>
      </c>
      <c r="R4">
        <f>AVERAGE(L:L)</f>
        <v>79414.490000000005</v>
      </c>
    </row>
    <row r="5" spans="1:18" x14ac:dyDescent="0.3">
      <c r="A5" s="3" t="s">
        <v>14</v>
      </c>
      <c r="B5" s="3" t="s">
        <v>114</v>
      </c>
      <c r="C5" s="3" t="s">
        <v>167</v>
      </c>
      <c r="D5" s="3" t="s">
        <v>251</v>
      </c>
      <c r="E5" s="3" t="s">
        <v>255</v>
      </c>
      <c r="F5" s="3" t="s">
        <v>259</v>
      </c>
      <c r="G5" s="3">
        <v>1</v>
      </c>
      <c r="H5" s="3">
        <v>1315</v>
      </c>
      <c r="I5" s="9">
        <v>0</v>
      </c>
      <c r="J5" s="3" t="s">
        <v>273</v>
      </c>
      <c r="K5" s="3" t="s">
        <v>275</v>
      </c>
      <c r="L5" s="3">
        <f t="shared" si="0"/>
        <v>1315</v>
      </c>
      <c r="M5">
        <f t="shared" si="1"/>
        <v>0</v>
      </c>
      <c r="Q5" s="2" t="s">
        <v>281</v>
      </c>
      <c r="R5">
        <f>COUNTA(J2:J101)</f>
        <v>100</v>
      </c>
    </row>
    <row r="6" spans="1:18" x14ac:dyDescent="0.3">
      <c r="A6" s="3" t="s">
        <v>15</v>
      </c>
      <c r="B6" s="3" t="s">
        <v>115</v>
      </c>
      <c r="C6" s="3" t="s">
        <v>168</v>
      </c>
      <c r="D6" s="3" t="s">
        <v>249</v>
      </c>
      <c r="E6" s="3" t="s">
        <v>255</v>
      </c>
      <c r="F6" s="3" t="s">
        <v>259</v>
      </c>
      <c r="G6" s="3">
        <v>1</v>
      </c>
      <c r="H6" s="3">
        <v>17466</v>
      </c>
      <c r="I6" s="9">
        <v>0.1</v>
      </c>
      <c r="J6" s="3" t="s">
        <v>273</v>
      </c>
      <c r="K6" s="3" t="s">
        <v>275</v>
      </c>
      <c r="L6" s="3">
        <f t="shared" si="0"/>
        <v>17466</v>
      </c>
      <c r="M6">
        <f t="shared" si="1"/>
        <v>1746.6000000000001</v>
      </c>
      <c r="Q6" s="2" t="s">
        <v>282</v>
      </c>
      <c r="R6">
        <f>MAX(L:L)</f>
        <v>297618</v>
      </c>
    </row>
    <row r="7" spans="1:18" x14ac:dyDescent="0.3">
      <c r="A7" s="3" t="s">
        <v>16</v>
      </c>
      <c r="B7" s="3" t="s">
        <v>116</v>
      </c>
      <c r="C7" s="3" t="s">
        <v>169</v>
      </c>
      <c r="D7" s="3" t="s">
        <v>251</v>
      </c>
      <c r="E7" s="3" t="s">
        <v>253</v>
      </c>
      <c r="F7" s="3" t="s">
        <v>260</v>
      </c>
      <c r="G7" s="3">
        <v>2</v>
      </c>
      <c r="H7" s="3">
        <v>8491</v>
      </c>
      <c r="I7" s="9">
        <v>0.1</v>
      </c>
      <c r="J7" s="3" t="s">
        <v>271</v>
      </c>
      <c r="K7" s="3" t="s">
        <v>277</v>
      </c>
      <c r="L7" s="3">
        <f t="shared" si="0"/>
        <v>16982</v>
      </c>
      <c r="M7">
        <f t="shared" si="1"/>
        <v>849.1</v>
      </c>
      <c r="Q7" s="2" t="s">
        <v>283</v>
      </c>
      <c r="R7">
        <f>MIN(L:L)</f>
        <v>1122</v>
      </c>
    </row>
    <row r="8" spans="1:18" x14ac:dyDescent="0.3">
      <c r="A8" s="3" t="s">
        <v>17</v>
      </c>
      <c r="B8" s="3" t="s">
        <v>117</v>
      </c>
      <c r="C8" s="3" t="s">
        <v>170</v>
      </c>
      <c r="D8" s="3" t="s">
        <v>252</v>
      </c>
      <c r="E8" s="3" t="s">
        <v>253</v>
      </c>
      <c r="F8" s="3" t="s">
        <v>260</v>
      </c>
      <c r="G8" s="3">
        <v>1</v>
      </c>
      <c r="H8" s="3">
        <v>19016</v>
      </c>
      <c r="I8" s="9">
        <v>0.1</v>
      </c>
      <c r="J8" s="3" t="s">
        <v>272</v>
      </c>
      <c r="K8" s="3" t="s">
        <v>276</v>
      </c>
      <c r="L8" s="3">
        <f t="shared" si="0"/>
        <v>19016</v>
      </c>
      <c r="M8">
        <f t="shared" si="1"/>
        <v>1901.6000000000001</v>
      </c>
      <c r="Q8" s="1"/>
    </row>
    <row r="9" spans="1:18" x14ac:dyDescent="0.3">
      <c r="A9" s="3" t="s">
        <v>18</v>
      </c>
      <c r="B9" s="3" t="s">
        <v>114</v>
      </c>
      <c r="C9" s="3" t="s">
        <v>171</v>
      </c>
      <c r="D9" s="3" t="s">
        <v>252</v>
      </c>
      <c r="E9" s="3" t="s">
        <v>255</v>
      </c>
      <c r="F9" s="3" t="s">
        <v>261</v>
      </c>
      <c r="G9" s="3">
        <v>4</v>
      </c>
      <c r="H9" s="3">
        <v>24702</v>
      </c>
      <c r="I9" s="9">
        <v>0.08</v>
      </c>
      <c r="J9" s="3" t="s">
        <v>273</v>
      </c>
      <c r="K9" s="3" t="s">
        <v>277</v>
      </c>
      <c r="L9" s="3">
        <f t="shared" si="0"/>
        <v>98808</v>
      </c>
      <c r="M9">
        <f t="shared" si="1"/>
        <v>1976.16</v>
      </c>
      <c r="Q9" s="1"/>
    </row>
    <row r="10" spans="1:18" x14ac:dyDescent="0.3">
      <c r="A10" s="3" t="s">
        <v>19</v>
      </c>
      <c r="B10" s="3" t="s">
        <v>118</v>
      </c>
      <c r="C10" s="3" t="s">
        <v>172</v>
      </c>
      <c r="D10" s="3" t="s">
        <v>252</v>
      </c>
      <c r="E10" s="3" t="s">
        <v>254</v>
      </c>
      <c r="F10" s="3" t="s">
        <v>262</v>
      </c>
      <c r="G10" s="3">
        <v>4</v>
      </c>
      <c r="H10" s="3">
        <v>23244</v>
      </c>
      <c r="I10" s="9">
        <v>0.08</v>
      </c>
      <c r="J10" s="3" t="s">
        <v>273</v>
      </c>
      <c r="K10" s="3" t="s">
        <v>277</v>
      </c>
      <c r="L10" s="3">
        <f t="shared" si="0"/>
        <v>92976</v>
      </c>
      <c r="M10">
        <f t="shared" si="1"/>
        <v>1859.52</v>
      </c>
      <c r="Q10" s="2" t="s">
        <v>284</v>
      </c>
      <c r="R10">
        <f>COUNTIF(D:D,"South")</f>
        <v>27</v>
      </c>
    </row>
    <row r="11" spans="1:18" x14ac:dyDescent="0.3">
      <c r="A11" s="3" t="s">
        <v>20</v>
      </c>
      <c r="B11" s="3" t="s">
        <v>119</v>
      </c>
      <c r="C11" s="3" t="s">
        <v>173</v>
      </c>
      <c r="D11" s="3" t="s">
        <v>250</v>
      </c>
      <c r="E11" s="3" t="s">
        <v>254</v>
      </c>
      <c r="F11" s="3" t="s">
        <v>258</v>
      </c>
      <c r="G11" s="3">
        <v>5</v>
      </c>
      <c r="H11" s="3">
        <v>36371</v>
      </c>
      <c r="I11" s="9">
        <v>0.05</v>
      </c>
      <c r="J11" s="3" t="s">
        <v>271</v>
      </c>
      <c r="K11" s="3" t="s">
        <v>277</v>
      </c>
      <c r="L11" s="3">
        <f t="shared" si="0"/>
        <v>181855</v>
      </c>
      <c r="M11">
        <f t="shared" si="1"/>
        <v>1818.5500000000002</v>
      </c>
      <c r="Q11" s="2" t="s">
        <v>285</v>
      </c>
      <c r="R11">
        <f>AVERAGEIF(K2:K101,K3,L2:L101)</f>
        <v>87253.6875</v>
      </c>
    </row>
    <row r="12" spans="1:18" x14ac:dyDescent="0.3">
      <c r="A12" s="3" t="s">
        <v>21</v>
      </c>
      <c r="B12" s="3" t="s">
        <v>113</v>
      </c>
      <c r="C12" s="3" t="s">
        <v>174</v>
      </c>
      <c r="D12" s="3" t="s">
        <v>249</v>
      </c>
      <c r="E12" s="3" t="s">
        <v>253</v>
      </c>
      <c r="F12" s="3" t="s">
        <v>263</v>
      </c>
      <c r="G12" s="3">
        <v>2</v>
      </c>
      <c r="H12" s="3">
        <v>19272</v>
      </c>
      <c r="I12" s="9">
        <v>0.1</v>
      </c>
      <c r="J12" s="3" t="s">
        <v>271</v>
      </c>
      <c r="K12" s="3" t="s">
        <v>277</v>
      </c>
      <c r="L12" s="3">
        <f t="shared" si="0"/>
        <v>38544</v>
      </c>
      <c r="M12">
        <f t="shared" si="1"/>
        <v>1927.2</v>
      </c>
      <c r="Q12" s="2" t="s">
        <v>286</v>
      </c>
      <c r="R12">
        <f>_xlfn.MAXIFS(L2:L101,D2:D101,D4)</f>
        <v>254424</v>
      </c>
    </row>
    <row r="13" spans="1:18" x14ac:dyDescent="0.3">
      <c r="A13" s="3" t="s">
        <v>22</v>
      </c>
      <c r="B13" s="3" t="s">
        <v>112</v>
      </c>
      <c r="C13" s="3" t="s">
        <v>175</v>
      </c>
      <c r="D13" s="3" t="s">
        <v>252</v>
      </c>
      <c r="E13" s="3" t="s">
        <v>255</v>
      </c>
      <c r="F13" s="3" t="s">
        <v>264</v>
      </c>
      <c r="G13" s="3">
        <v>2</v>
      </c>
      <c r="H13" s="3">
        <v>10588</v>
      </c>
      <c r="I13" s="9">
        <v>0.1</v>
      </c>
      <c r="J13" s="3" t="s">
        <v>272</v>
      </c>
      <c r="K13" s="3" t="s">
        <v>276</v>
      </c>
      <c r="L13" s="3">
        <f t="shared" si="0"/>
        <v>21176</v>
      </c>
      <c r="M13">
        <f t="shared" si="1"/>
        <v>1058.8</v>
      </c>
      <c r="Q13" s="1"/>
    </row>
    <row r="14" spans="1:18" x14ac:dyDescent="0.3">
      <c r="A14" s="3" t="s">
        <v>23</v>
      </c>
      <c r="B14" s="3" t="s">
        <v>120</v>
      </c>
      <c r="C14" s="3" t="s">
        <v>173</v>
      </c>
      <c r="D14" s="3" t="s">
        <v>252</v>
      </c>
      <c r="E14" s="3" t="s">
        <v>254</v>
      </c>
      <c r="F14" s="3" t="s">
        <v>265</v>
      </c>
      <c r="G14" s="3">
        <v>4</v>
      </c>
      <c r="H14" s="3">
        <v>48566</v>
      </c>
      <c r="I14" s="9">
        <v>0.08</v>
      </c>
      <c r="J14" s="3" t="s">
        <v>274</v>
      </c>
      <c r="K14" s="3" t="s">
        <v>277</v>
      </c>
      <c r="L14" s="3">
        <f t="shared" si="0"/>
        <v>194264</v>
      </c>
      <c r="M14">
        <f t="shared" si="1"/>
        <v>3885.28</v>
      </c>
      <c r="Q14" s="1"/>
    </row>
    <row r="15" spans="1:18" x14ac:dyDescent="0.3">
      <c r="A15" s="3" t="s">
        <v>24</v>
      </c>
      <c r="B15" s="3" t="s">
        <v>121</v>
      </c>
      <c r="C15" s="3" t="s">
        <v>176</v>
      </c>
      <c r="D15" s="3" t="s">
        <v>252</v>
      </c>
      <c r="E15" s="3" t="s">
        <v>254</v>
      </c>
      <c r="F15" s="3" t="s">
        <v>265</v>
      </c>
      <c r="G15" s="3">
        <v>4</v>
      </c>
      <c r="H15" s="3">
        <v>10776</v>
      </c>
      <c r="I15" s="9">
        <v>0.08</v>
      </c>
      <c r="J15" s="3" t="s">
        <v>273</v>
      </c>
      <c r="K15" s="3" t="s">
        <v>277</v>
      </c>
      <c r="L15" s="3">
        <f t="shared" si="0"/>
        <v>43104</v>
      </c>
      <c r="M15">
        <f t="shared" si="1"/>
        <v>862.08</v>
      </c>
      <c r="Q15" s="2" t="s">
        <v>287</v>
      </c>
      <c r="R15">
        <f>SUMIFS(G2:G101,D2:D101,D4,E2:E101,E5)</f>
        <v>24</v>
      </c>
    </row>
    <row r="16" spans="1:18" x14ac:dyDescent="0.3">
      <c r="A16" s="3" t="s">
        <v>25</v>
      </c>
      <c r="B16" s="3" t="s">
        <v>122</v>
      </c>
      <c r="C16" s="3" t="s">
        <v>177</v>
      </c>
      <c r="D16" s="3" t="s">
        <v>251</v>
      </c>
      <c r="E16" s="3" t="s">
        <v>254</v>
      </c>
      <c r="F16" s="3" t="s">
        <v>266</v>
      </c>
      <c r="G16" s="3">
        <v>2</v>
      </c>
      <c r="H16" s="3">
        <v>32108</v>
      </c>
      <c r="I16" s="9">
        <v>7.0000000000000007E-2</v>
      </c>
      <c r="J16" s="3" t="s">
        <v>273</v>
      </c>
      <c r="K16" s="3" t="s">
        <v>276</v>
      </c>
      <c r="L16" s="3">
        <f t="shared" si="0"/>
        <v>64216</v>
      </c>
      <c r="M16">
        <f t="shared" si="1"/>
        <v>2247.5600000000004</v>
      </c>
      <c r="Q16" s="2" t="s">
        <v>288</v>
      </c>
      <c r="R16" s="8">
        <f>AVERAGEIFS(I2:I101,E2:E101,E100,J2:J101,J98)</f>
        <v>7.7500000000000013E-2</v>
      </c>
    </row>
    <row r="17" spans="1:18" x14ac:dyDescent="0.3">
      <c r="A17" s="3" t="s">
        <v>26</v>
      </c>
      <c r="B17" s="3" t="s">
        <v>123</v>
      </c>
      <c r="C17" s="3" t="s">
        <v>178</v>
      </c>
      <c r="D17" s="3" t="s">
        <v>251</v>
      </c>
      <c r="E17" s="3" t="s">
        <v>255</v>
      </c>
      <c r="F17" s="3" t="s">
        <v>261</v>
      </c>
      <c r="G17" s="3">
        <v>2</v>
      </c>
      <c r="H17" s="3">
        <v>19147</v>
      </c>
      <c r="I17" s="9">
        <v>0</v>
      </c>
      <c r="J17" s="3" t="s">
        <v>274</v>
      </c>
      <c r="K17" s="3" t="s">
        <v>275</v>
      </c>
      <c r="L17" s="3">
        <f t="shared" si="0"/>
        <v>38294</v>
      </c>
      <c r="M17">
        <f t="shared" si="1"/>
        <v>0</v>
      </c>
      <c r="Q17" s="2" t="s">
        <v>289</v>
      </c>
      <c r="R17">
        <f>SMALL(L2:L101,5)</f>
        <v>5133</v>
      </c>
    </row>
    <row r="18" spans="1:18" x14ac:dyDescent="0.3">
      <c r="A18" s="3" t="s">
        <v>27</v>
      </c>
      <c r="B18" s="3" t="s">
        <v>124</v>
      </c>
      <c r="C18" s="3" t="s">
        <v>179</v>
      </c>
      <c r="D18" s="3" t="s">
        <v>252</v>
      </c>
      <c r="E18" s="3" t="s">
        <v>254</v>
      </c>
      <c r="F18" s="3" t="s">
        <v>266</v>
      </c>
      <c r="G18" s="3">
        <v>3</v>
      </c>
      <c r="H18" s="3">
        <v>54390</v>
      </c>
      <c r="I18" s="9">
        <v>0.05</v>
      </c>
      <c r="J18" s="3" t="s">
        <v>274</v>
      </c>
      <c r="K18" s="3" t="s">
        <v>276</v>
      </c>
      <c r="L18" s="3">
        <f t="shared" si="0"/>
        <v>163170</v>
      </c>
      <c r="M18">
        <f t="shared" si="1"/>
        <v>2719.5</v>
      </c>
    </row>
    <row r="19" spans="1:18" x14ac:dyDescent="0.3">
      <c r="A19" s="3" t="s">
        <v>28</v>
      </c>
      <c r="B19" s="3" t="s">
        <v>125</v>
      </c>
      <c r="C19" s="3" t="s">
        <v>180</v>
      </c>
      <c r="D19" s="3" t="s">
        <v>251</v>
      </c>
      <c r="E19" s="3" t="s">
        <v>253</v>
      </c>
      <c r="F19" s="3" t="s">
        <v>263</v>
      </c>
      <c r="G19" s="3">
        <v>1</v>
      </c>
      <c r="H19" s="3">
        <v>18023</v>
      </c>
      <c r="I19" s="9">
        <v>0.05</v>
      </c>
      <c r="J19" s="3" t="s">
        <v>271</v>
      </c>
      <c r="K19" s="3" t="s">
        <v>275</v>
      </c>
      <c r="L19" s="3">
        <f t="shared" si="0"/>
        <v>18023</v>
      </c>
      <c r="M19">
        <f t="shared" si="1"/>
        <v>901.15000000000009</v>
      </c>
    </row>
    <row r="20" spans="1:18" x14ac:dyDescent="0.3">
      <c r="A20" s="3" t="s">
        <v>29</v>
      </c>
      <c r="B20" s="3" t="s">
        <v>126</v>
      </c>
      <c r="C20" s="3" t="s">
        <v>181</v>
      </c>
      <c r="D20" s="3" t="s">
        <v>250</v>
      </c>
      <c r="E20" s="3" t="s">
        <v>255</v>
      </c>
      <c r="F20" s="3" t="s">
        <v>264</v>
      </c>
      <c r="G20" s="3">
        <v>4</v>
      </c>
      <c r="H20" s="3">
        <v>24289</v>
      </c>
      <c r="I20" s="9">
        <v>7.0000000000000007E-2</v>
      </c>
      <c r="J20" s="3" t="s">
        <v>271</v>
      </c>
      <c r="K20" s="3" t="s">
        <v>275</v>
      </c>
      <c r="L20" s="3">
        <f t="shared" si="0"/>
        <v>97156</v>
      </c>
      <c r="M20">
        <f t="shared" si="1"/>
        <v>1700.2300000000002</v>
      </c>
    </row>
    <row r="21" spans="1:18" x14ac:dyDescent="0.3">
      <c r="A21" s="3" t="s">
        <v>30</v>
      </c>
      <c r="B21" s="3" t="s">
        <v>127</v>
      </c>
      <c r="C21" s="3" t="s">
        <v>182</v>
      </c>
      <c r="D21" s="3" t="s">
        <v>251</v>
      </c>
      <c r="E21" s="3" t="s">
        <v>253</v>
      </c>
      <c r="F21" s="3" t="s">
        <v>267</v>
      </c>
      <c r="G21" s="3">
        <v>1</v>
      </c>
      <c r="H21" s="3">
        <v>7202</v>
      </c>
      <c r="I21" s="9">
        <v>0.08</v>
      </c>
      <c r="J21" s="3" t="s">
        <v>272</v>
      </c>
      <c r="K21" s="3" t="s">
        <v>276</v>
      </c>
      <c r="L21" s="3">
        <f t="shared" si="0"/>
        <v>7202</v>
      </c>
      <c r="M21">
        <f t="shared" si="1"/>
        <v>576.16</v>
      </c>
    </row>
    <row r="22" spans="1:18" x14ac:dyDescent="0.3">
      <c r="A22" s="3" t="s">
        <v>31</v>
      </c>
      <c r="B22" s="3" t="s">
        <v>128</v>
      </c>
      <c r="C22" s="3" t="s">
        <v>183</v>
      </c>
      <c r="D22" s="3" t="s">
        <v>249</v>
      </c>
      <c r="E22" s="3" t="s">
        <v>253</v>
      </c>
      <c r="F22" s="3" t="s">
        <v>268</v>
      </c>
      <c r="G22" s="3">
        <v>1</v>
      </c>
      <c r="H22" s="3">
        <v>1760</v>
      </c>
      <c r="I22" s="9">
        <v>0.05</v>
      </c>
      <c r="J22" s="3" t="s">
        <v>272</v>
      </c>
      <c r="K22" s="3" t="s">
        <v>275</v>
      </c>
      <c r="L22" s="3">
        <f t="shared" si="0"/>
        <v>1760</v>
      </c>
      <c r="M22">
        <f t="shared" si="1"/>
        <v>88</v>
      </c>
    </row>
    <row r="23" spans="1:18" x14ac:dyDescent="0.3">
      <c r="A23" s="3" t="s">
        <v>32</v>
      </c>
      <c r="B23" s="3" t="s">
        <v>129</v>
      </c>
      <c r="C23" s="3" t="s">
        <v>184</v>
      </c>
      <c r="D23" s="3" t="s">
        <v>251</v>
      </c>
      <c r="E23" s="3" t="s">
        <v>254</v>
      </c>
      <c r="F23" s="3" t="s">
        <v>258</v>
      </c>
      <c r="G23" s="3">
        <v>6</v>
      </c>
      <c r="H23" s="3">
        <v>29010</v>
      </c>
      <c r="I23" s="9">
        <v>0</v>
      </c>
      <c r="J23" s="3" t="s">
        <v>271</v>
      </c>
      <c r="K23" s="3" t="s">
        <v>276</v>
      </c>
      <c r="L23" s="3">
        <f t="shared" si="0"/>
        <v>174060</v>
      </c>
      <c r="M23">
        <f t="shared" si="1"/>
        <v>0</v>
      </c>
    </row>
    <row r="24" spans="1:18" x14ac:dyDescent="0.3">
      <c r="A24" s="3" t="s">
        <v>33</v>
      </c>
      <c r="B24" s="3" t="s">
        <v>130</v>
      </c>
      <c r="C24" s="3" t="s">
        <v>185</v>
      </c>
      <c r="D24" s="3" t="s">
        <v>250</v>
      </c>
      <c r="E24" s="3" t="s">
        <v>254</v>
      </c>
      <c r="F24" s="3" t="s">
        <v>265</v>
      </c>
      <c r="G24" s="3">
        <v>6</v>
      </c>
      <c r="H24" s="3">
        <v>42404</v>
      </c>
      <c r="I24" s="9">
        <v>7.0000000000000007E-2</v>
      </c>
      <c r="J24" s="3" t="s">
        <v>273</v>
      </c>
      <c r="K24" s="3" t="s">
        <v>275</v>
      </c>
      <c r="L24" s="3">
        <f t="shared" si="0"/>
        <v>254424</v>
      </c>
      <c r="M24">
        <f t="shared" si="1"/>
        <v>2968.28</v>
      </c>
    </row>
    <row r="25" spans="1:18" x14ac:dyDescent="0.3">
      <c r="A25" s="3" t="s">
        <v>34</v>
      </c>
      <c r="B25" s="3" t="s">
        <v>131</v>
      </c>
      <c r="C25" s="3" t="s">
        <v>186</v>
      </c>
      <c r="D25" s="3" t="s">
        <v>251</v>
      </c>
      <c r="E25" s="3" t="s">
        <v>254</v>
      </c>
      <c r="F25" s="3" t="s">
        <v>266</v>
      </c>
      <c r="G25" s="3">
        <v>2</v>
      </c>
      <c r="H25" s="3">
        <v>21230</v>
      </c>
      <c r="I25" s="9">
        <v>7.0000000000000007E-2</v>
      </c>
      <c r="J25" s="3" t="s">
        <v>272</v>
      </c>
      <c r="K25" s="3" t="s">
        <v>276</v>
      </c>
      <c r="L25" s="3">
        <f t="shared" si="0"/>
        <v>42460</v>
      </c>
      <c r="M25">
        <f t="shared" si="1"/>
        <v>1486.1000000000001</v>
      </c>
    </row>
    <row r="26" spans="1:18" x14ac:dyDescent="0.3">
      <c r="A26" s="3" t="s">
        <v>35</v>
      </c>
      <c r="B26" s="3" t="s">
        <v>132</v>
      </c>
      <c r="C26" s="3" t="s">
        <v>187</v>
      </c>
      <c r="D26" s="3" t="s">
        <v>250</v>
      </c>
      <c r="E26" s="3" t="s">
        <v>254</v>
      </c>
      <c r="F26" s="3" t="s">
        <v>262</v>
      </c>
      <c r="G26" s="3">
        <v>4</v>
      </c>
      <c r="H26" s="3">
        <v>14683</v>
      </c>
      <c r="I26" s="9">
        <v>0.05</v>
      </c>
      <c r="J26" s="3" t="s">
        <v>271</v>
      </c>
      <c r="K26" s="3" t="s">
        <v>277</v>
      </c>
      <c r="L26" s="3">
        <f t="shared" si="0"/>
        <v>58732</v>
      </c>
      <c r="M26">
        <f t="shared" si="1"/>
        <v>734.15000000000009</v>
      </c>
    </row>
    <row r="27" spans="1:18" x14ac:dyDescent="0.3">
      <c r="A27" s="3" t="s">
        <v>36</v>
      </c>
      <c r="B27" s="3" t="s">
        <v>125</v>
      </c>
      <c r="C27" s="3" t="s">
        <v>188</v>
      </c>
      <c r="D27" s="3" t="s">
        <v>249</v>
      </c>
      <c r="E27" s="3" t="s">
        <v>254</v>
      </c>
      <c r="F27" s="3" t="s">
        <v>257</v>
      </c>
      <c r="G27" s="3">
        <v>5</v>
      </c>
      <c r="H27" s="3">
        <v>44149</v>
      </c>
      <c r="I27" s="9">
        <v>0.08</v>
      </c>
      <c r="J27" s="3" t="s">
        <v>274</v>
      </c>
      <c r="K27" s="3" t="s">
        <v>277</v>
      </c>
      <c r="L27" s="3">
        <f t="shared" si="0"/>
        <v>220745</v>
      </c>
      <c r="M27">
        <f t="shared" si="1"/>
        <v>3531.92</v>
      </c>
    </row>
    <row r="28" spans="1:18" x14ac:dyDescent="0.3">
      <c r="A28" s="3" t="s">
        <v>37</v>
      </c>
      <c r="B28" s="3" t="s">
        <v>119</v>
      </c>
      <c r="C28" s="3" t="s">
        <v>189</v>
      </c>
      <c r="D28" s="3" t="s">
        <v>249</v>
      </c>
      <c r="E28" s="3" t="s">
        <v>254</v>
      </c>
      <c r="F28" s="3" t="s">
        <v>262</v>
      </c>
      <c r="G28" s="3">
        <v>6</v>
      </c>
      <c r="H28" s="3">
        <v>42463</v>
      </c>
      <c r="I28" s="9">
        <v>0</v>
      </c>
      <c r="J28" s="3" t="s">
        <v>273</v>
      </c>
      <c r="K28" s="3" t="s">
        <v>277</v>
      </c>
      <c r="L28" s="3">
        <f t="shared" si="0"/>
        <v>254778</v>
      </c>
      <c r="M28">
        <f t="shared" si="1"/>
        <v>0</v>
      </c>
    </row>
    <row r="29" spans="1:18" x14ac:dyDescent="0.3">
      <c r="A29" s="3" t="s">
        <v>38</v>
      </c>
      <c r="B29" s="3" t="s">
        <v>133</v>
      </c>
      <c r="C29" s="3" t="s">
        <v>190</v>
      </c>
      <c r="D29" s="3" t="s">
        <v>249</v>
      </c>
      <c r="E29" s="3" t="s">
        <v>253</v>
      </c>
      <c r="F29" s="3" t="s">
        <v>267</v>
      </c>
      <c r="G29" s="3">
        <v>5</v>
      </c>
      <c r="H29" s="3">
        <v>26474</v>
      </c>
      <c r="I29" s="9">
        <v>7.0000000000000007E-2</v>
      </c>
      <c r="J29" s="3" t="s">
        <v>273</v>
      </c>
      <c r="K29" s="3" t="s">
        <v>276</v>
      </c>
      <c r="L29" s="3">
        <f t="shared" si="0"/>
        <v>132370</v>
      </c>
      <c r="M29">
        <f t="shared" si="1"/>
        <v>1853.18</v>
      </c>
    </row>
    <row r="30" spans="1:18" x14ac:dyDescent="0.3">
      <c r="A30" s="3" t="s">
        <v>39</v>
      </c>
      <c r="B30" s="3" t="s">
        <v>113</v>
      </c>
      <c r="C30" s="3" t="s">
        <v>191</v>
      </c>
      <c r="D30" s="3" t="s">
        <v>251</v>
      </c>
      <c r="E30" s="3" t="s">
        <v>255</v>
      </c>
      <c r="F30" s="3" t="s">
        <v>269</v>
      </c>
      <c r="G30" s="3">
        <v>6</v>
      </c>
      <c r="H30" s="3">
        <v>17582</v>
      </c>
      <c r="I30" s="9">
        <v>0.08</v>
      </c>
      <c r="J30" s="3" t="s">
        <v>271</v>
      </c>
      <c r="K30" s="3" t="s">
        <v>275</v>
      </c>
      <c r="L30" s="3">
        <f t="shared" si="0"/>
        <v>105492</v>
      </c>
      <c r="M30">
        <f t="shared" si="1"/>
        <v>1406.56</v>
      </c>
    </row>
    <row r="31" spans="1:18" x14ac:dyDescent="0.3">
      <c r="A31" s="3" t="s">
        <v>40</v>
      </c>
      <c r="B31" s="3" t="s">
        <v>134</v>
      </c>
      <c r="C31" s="3" t="s">
        <v>192</v>
      </c>
      <c r="D31" s="3" t="s">
        <v>249</v>
      </c>
      <c r="E31" s="3" t="s">
        <v>254</v>
      </c>
      <c r="F31" s="3" t="s">
        <v>265</v>
      </c>
      <c r="G31" s="3">
        <v>5</v>
      </c>
      <c r="H31" s="3">
        <v>27968</v>
      </c>
      <c r="I31" s="9">
        <v>0.1</v>
      </c>
      <c r="J31" s="3" t="s">
        <v>272</v>
      </c>
      <c r="K31" s="3" t="s">
        <v>276</v>
      </c>
      <c r="L31" s="3">
        <f t="shared" si="0"/>
        <v>139840</v>
      </c>
      <c r="M31">
        <f t="shared" si="1"/>
        <v>2796.8</v>
      </c>
    </row>
    <row r="32" spans="1:18" x14ac:dyDescent="0.3">
      <c r="A32" s="3" t="s">
        <v>41</v>
      </c>
      <c r="B32" s="3" t="s">
        <v>135</v>
      </c>
      <c r="C32" s="3" t="s">
        <v>193</v>
      </c>
      <c r="D32" s="3" t="s">
        <v>249</v>
      </c>
      <c r="E32" s="3" t="s">
        <v>255</v>
      </c>
      <c r="F32" s="3" t="s">
        <v>261</v>
      </c>
      <c r="G32" s="3">
        <v>1</v>
      </c>
      <c r="H32" s="3">
        <v>7837</v>
      </c>
      <c r="I32" s="9">
        <v>0.1</v>
      </c>
      <c r="J32" s="3" t="s">
        <v>273</v>
      </c>
      <c r="K32" s="3" t="s">
        <v>275</v>
      </c>
      <c r="L32" s="3">
        <f t="shared" si="0"/>
        <v>7837</v>
      </c>
      <c r="M32">
        <f t="shared" si="1"/>
        <v>783.7</v>
      </c>
    </row>
    <row r="33" spans="1:13" x14ac:dyDescent="0.3">
      <c r="A33" s="3" t="s">
        <v>42</v>
      </c>
      <c r="B33" s="3" t="s">
        <v>136</v>
      </c>
      <c r="C33" s="3" t="s">
        <v>194</v>
      </c>
      <c r="D33" s="3" t="s">
        <v>252</v>
      </c>
      <c r="E33" s="3" t="s">
        <v>253</v>
      </c>
      <c r="F33" s="3" t="s">
        <v>260</v>
      </c>
      <c r="G33" s="3">
        <v>2</v>
      </c>
      <c r="H33" s="3">
        <v>14536</v>
      </c>
      <c r="I33" s="9">
        <v>0.1</v>
      </c>
      <c r="J33" s="3" t="s">
        <v>274</v>
      </c>
      <c r="K33" s="3" t="s">
        <v>277</v>
      </c>
      <c r="L33" s="3">
        <f t="shared" si="0"/>
        <v>29072</v>
      </c>
      <c r="M33">
        <f t="shared" si="1"/>
        <v>1453.6000000000001</v>
      </c>
    </row>
    <row r="34" spans="1:13" x14ac:dyDescent="0.3">
      <c r="A34" s="3" t="s">
        <v>43</v>
      </c>
      <c r="B34" s="3" t="s">
        <v>137</v>
      </c>
      <c r="C34" s="3" t="s">
        <v>195</v>
      </c>
      <c r="D34" s="3" t="s">
        <v>251</v>
      </c>
      <c r="E34" s="3" t="s">
        <v>255</v>
      </c>
      <c r="F34" s="3" t="s">
        <v>261</v>
      </c>
      <c r="G34" s="3">
        <v>3</v>
      </c>
      <c r="H34" s="3">
        <v>23021</v>
      </c>
      <c r="I34" s="9">
        <v>0.08</v>
      </c>
      <c r="J34" s="3" t="s">
        <v>271</v>
      </c>
      <c r="K34" s="3" t="s">
        <v>276</v>
      </c>
      <c r="L34" s="3">
        <f t="shared" si="0"/>
        <v>69063</v>
      </c>
      <c r="M34">
        <f t="shared" si="1"/>
        <v>1841.68</v>
      </c>
    </row>
    <row r="35" spans="1:13" x14ac:dyDescent="0.3">
      <c r="A35" s="3" t="s">
        <v>44</v>
      </c>
      <c r="B35" s="3" t="s">
        <v>134</v>
      </c>
      <c r="C35" s="3" t="s">
        <v>196</v>
      </c>
      <c r="D35" s="3" t="s">
        <v>250</v>
      </c>
      <c r="E35" s="3" t="s">
        <v>254</v>
      </c>
      <c r="F35" s="3" t="s">
        <v>266</v>
      </c>
      <c r="G35" s="3">
        <v>6</v>
      </c>
      <c r="H35" s="3">
        <v>37986</v>
      </c>
      <c r="I35" s="9">
        <v>0.1</v>
      </c>
      <c r="J35" s="3" t="s">
        <v>274</v>
      </c>
      <c r="K35" s="3" t="s">
        <v>275</v>
      </c>
      <c r="L35" s="3">
        <f t="shared" si="0"/>
        <v>227916</v>
      </c>
      <c r="M35">
        <f t="shared" si="1"/>
        <v>3798.6000000000004</v>
      </c>
    </row>
    <row r="36" spans="1:13" x14ac:dyDescent="0.3">
      <c r="A36" s="3" t="s">
        <v>45</v>
      </c>
      <c r="B36" s="3" t="s">
        <v>138</v>
      </c>
      <c r="C36" s="3" t="s">
        <v>197</v>
      </c>
      <c r="D36" s="3" t="s">
        <v>249</v>
      </c>
      <c r="E36" s="3" t="s">
        <v>254</v>
      </c>
      <c r="F36" s="3" t="s">
        <v>266</v>
      </c>
      <c r="G36" s="3">
        <v>6</v>
      </c>
      <c r="H36" s="3">
        <v>41326</v>
      </c>
      <c r="I36" s="9">
        <v>0.1</v>
      </c>
      <c r="J36" s="3" t="s">
        <v>273</v>
      </c>
      <c r="K36" s="3" t="s">
        <v>275</v>
      </c>
      <c r="L36" s="3">
        <f t="shared" si="0"/>
        <v>247956</v>
      </c>
      <c r="M36">
        <f t="shared" si="1"/>
        <v>4132.6000000000004</v>
      </c>
    </row>
    <row r="37" spans="1:13" x14ac:dyDescent="0.3">
      <c r="A37" s="3" t="s">
        <v>46</v>
      </c>
      <c r="B37" s="3" t="s">
        <v>139</v>
      </c>
      <c r="C37" s="3" t="s">
        <v>198</v>
      </c>
      <c r="D37" s="3" t="s">
        <v>251</v>
      </c>
      <c r="E37" s="3" t="s">
        <v>255</v>
      </c>
      <c r="F37" s="3" t="s">
        <v>264</v>
      </c>
      <c r="G37" s="3">
        <v>5</v>
      </c>
      <c r="H37" s="3">
        <v>11669</v>
      </c>
      <c r="I37" s="9">
        <v>0</v>
      </c>
      <c r="J37" s="3" t="s">
        <v>274</v>
      </c>
      <c r="K37" s="3" t="s">
        <v>277</v>
      </c>
      <c r="L37" s="3">
        <f t="shared" si="0"/>
        <v>58345</v>
      </c>
      <c r="M37">
        <f t="shared" si="1"/>
        <v>0</v>
      </c>
    </row>
    <row r="38" spans="1:13" x14ac:dyDescent="0.3">
      <c r="A38" s="3" t="s">
        <v>47</v>
      </c>
      <c r="B38" s="3" t="s">
        <v>140</v>
      </c>
      <c r="C38" s="3" t="s">
        <v>199</v>
      </c>
      <c r="D38" s="3" t="s">
        <v>249</v>
      </c>
      <c r="E38" s="3" t="s">
        <v>253</v>
      </c>
      <c r="F38" s="3" t="s">
        <v>263</v>
      </c>
      <c r="G38" s="3">
        <v>1</v>
      </c>
      <c r="H38" s="3">
        <v>8092</v>
      </c>
      <c r="I38" s="9">
        <v>0</v>
      </c>
      <c r="J38" s="3" t="s">
        <v>271</v>
      </c>
      <c r="K38" s="3" t="s">
        <v>275</v>
      </c>
      <c r="L38" s="3">
        <f t="shared" si="0"/>
        <v>8092</v>
      </c>
      <c r="M38">
        <f t="shared" si="1"/>
        <v>0</v>
      </c>
    </row>
    <row r="39" spans="1:13" x14ac:dyDescent="0.3">
      <c r="A39" s="3" t="s">
        <v>48</v>
      </c>
      <c r="B39" s="3" t="s">
        <v>141</v>
      </c>
      <c r="C39" s="3" t="s">
        <v>200</v>
      </c>
      <c r="D39" s="3" t="s">
        <v>249</v>
      </c>
      <c r="E39" s="3" t="s">
        <v>253</v>
      </c>
      <c r="F39" s="3" t="s">
        <v>267</v>
      </c>
      <c r="G39" s="3">
        <v>5</v>
      </c>
      <c r="H39" s="3">
        <v>27827</v>
      </c>
      <c r="I39" s="9">
        <v>0.08</v>
      </c>
      <c r="J39" s="3" t="s">
        <v>273</v>
      </c>
      <c r="K39" s="3" t="s">
        <v>276</v>
      </c>
      <c r="L39" s="3">
        <f t="shared" si="0"/>
        <v>139135</v>
      </c>
      <c r="M39">
        <f t="shared" si="1"/>
        <v>2226.16</v>
      </c>
    </row>
    <row r="40" spans="1:13" x14ac:dyDescent="0.3">
      <c r="A40" s="3" t="s">
        <v>49</v>
      </c>
      <c r="B40" s="3" t="s">
        <v>138</v>
      </c>
      <c r="C40" s="3" t="s">
        <v>167</v>
      </c>
      <c r="D40" s="3" t="s">
        <v>251</v>
      </c>
      <c r="E40" s="3" t="s">
        <v>255</v>
      </c>
      <c r="F40" s="3" t="s">
        <v>259</v>
      </c>
      <c r="G40" s="3">
        <v>5</v>
      </c>
      <c r="H40" s="3">
        <v>6749</v>
      </c>
      <c r="I40" s="9">
        <v>0.08</v>
      </c>
      <c r="J40" s="3" t="s">
        <v>272</v>
      </c>
      <c r="K40" s="3" t="s">
        <v>275</v>
      </c>
      <c r="L40" s="3">
        <f t="shared" si="0"/>
        <v>33745</v>
      </c>
      <c r="M40">
        <f t="shared" si="1"/>
        <v>539.91999999999996</v>
      </c>
    </row>
    <row r="41" spans="1:13" x14ac:dyDescent="0.3">
      <c r="A41" s="3" t="s">
        <v>50</v>
      </c>
      <c r="B41" s="3" t="s">
        <v>140</v>
      </c>
      <c r="C41" s="3" t="s">
        <v>201</v>
      </c>
      <c r="D41" s="3" t="s">
        <v>251</v>
      </c>
      <c r="E41" s="3" t="s">
        <v>254</v>
      </c>
      <c r="F41" s="3" t="s">
        <v>262</v>
      </c>
      <c r="G41" s="3">
        <v>6</v>
      </c>
      <c r="H41" s="3">
        <v>11029</v>
      </c>
      <c r="I41" s="9">
        <v>7.0000000000000007E-2</v>
      </c>
      <c r="J41" s="3" t="s">
        <v>274</v>
      </c>
      <c r="K41" s="3" t="s">
        <v>276</v>
      </c>
      <c r="L41" s="3">
        <f t="shared" si="0"/>
        <v>66174</v>
      </c>
      <c r="M41">
        <f t="shared" si="1"/>
        <v>772.03000000000009</v>
      </c>
    </row>
    <row r="42" spans="1:13" x14ac:dyDescent="0.3">
      <c r="A42" s="3" t="s">
        <v>51</v>
      </c>
      <c r="B42" s="3" t="s">
        <v>142</v>
      </c>
      <c r="C42" s="3" t="s">
        <v>202</v>
      </c>
      <c r="D42" s="3" t="s">
        <v>250</v>
      </c>
      <c r="E42" s="3" t="s">
        <v>255</v>
      </c>
      <c r="F42" s="3" t="s">
        <v>269</v>
      </c>
      <c r="G42" s="3">
        <v>4</v>
      </c>
      <c r="H42" s="3">
        <v>4141</v>
      </c>
      <c r="I42" s="9">
        <v>0</v>
      </c>
      <c r="J42" s="3" t="s">
        <v>271</v>
      </c>
      <c r="K42" s="3" t="s">
        <v>277</v>
      </c>
      <c r="L42" s="3">
        <f t="shared" si="0"/>
        <v>16564</v>
      </c>
      <c r="M42">
        <f t="shared" si="1"/>
        <v>0</v>
      </c>
    </row>
    <row r="43" spans="1:13" x14ac:dyDescent="0.3">
      <c r="A43" s="3" t="s">
        <v>52</v>
      </c>
      <c r="B43" s="3" t="s">
        <v>143</v>
      </c>
      <c r="C43" s="3" t="s">
        <v>203</v>
      </c>
      <c r="D43" s="3" t="s">
        <v>252</v>
      </c>
      <c r="E43" s="3" t="s">
        <v>253</v>
      </c>
      <c r="F43" s="3" t="s">
        <v>260</v>
      </c>
      <c r="G43" s="3">
        <v>3</v>
      </c>
      <c r="H43" s="3">
        <v>3028</v>
      </c>
      <c r="I43" s="9">
        <v>0.1</v>
      </c>
      <c r="J43" s="3" t="s">
        <v>271</v>
      </c>
      <c r="K43" s="3" t="s">
        <v>276</v>
      </c>
      <c r="L43" s="3">
        <f t="shared" si="0"/>
        <v>9084</v>
      </c>
      <c r="M43">
        <f t="shared" si="1"/>
        <v>302.8</v>
      </c>
    </row>
    <row r="44" spans="1:13" x14ac:dyDescent="0.3">
      <c r="A44" s="3" t="s">
        <v>53</v>
      </c>
      <c r="B44" s="3" t="s">
        <v>112</v>
      </c>
      <c r="C44" s="3" t="s">
        <v>204</v>
      </c>
      <c r="D44" s="3" t="s">
        <v>250</v>
      </c>
      <c r="E44" s="3" t="s">
        <v>255</v>
      </c>
      <c r="F44" s="3" t="s">
        <v>261</v>
      </c>
      <c r="G44" s="3">
        <v>1</v>
      </c>
      <c r="H44" s="3">
        <v>26825</v>
      </c>
      <c r="I44" s="9">
        <v>0</v>
      </c>
      <c r="J44" s="3" t="s">
        <v>272</v>
      </c>
      <c r="K44" s="3" t="s">
        <v>277</v>
      </c>
      <c r="L44" s="3">
        <f t="shared" si="0"/>
        <v>26825</v>
      </c>
      <c r="M44">
        <f t="shared" si="1"/>
        <v>0</v>
      </c>
    </row>
    <row r="45" spans="1:13" x14ac:dyDescent="0.3">
      <c r="A45" s="3" t="s">
        <v>54</v>
      </c>
      <c r="B45" s="3" t="s">
        <v>144</v>
      </c>
      <c r="C45" s="3" t="s">
        <v>205</v>
      </c>
      <c r="D45" s="3" t="s">
        <v>250</v>
      </c>
      <c r="E45" s="3" t="s">
        <v>253</v>
      </c>
      <c r="F45" s="3" t="s">
        <v>267</v>
      </c>
      <c r="G45" s="3">
        <v>4</v>
      </c>
      <c r="H45" s="3">
        <v>27015</v>
      </c>
      <c r="I45" s="9">
        <v>0.1</v>
      </c>
      <c r="J45" s="3" t="s">
        <v>271</v>
      </c>
      <c r="K45" s="3" t="s">
        <v>277</v>
      </c>
      <c r="L45" s="3">
        <f t="shared" si="0"/>
        <v>108060</v>
      </c>
      <c r="M45">
        <f t="shared" si="1"/>
        <v>2701.5</v>
      </c>
    </row>
    <row r="46" spans="1:13" x14ac:dyDescent="0.3">
      <c r="A46" s="3" t="s">
        <v>55</v>
      </c>
      <c r="B46" s="3" t="s">
        <v>131</v>
      </c>
      <c r="C46" s="3" t="s">
        <v>206</v>
      </c>
      <c r="D46" s="3" t="s">
        <v>251</v>
      </c>
      <c r="E46" s="3" t="s">
        <v>253</v>
      </c>
      <c r="F46" s="3" t="s">
        <v>267</v>
      </c>
      <c r="G46" s="3">
        <v>4</v>
      </c>
      <c r="H46" s="3">
        <v>7695</v>
      </c>
      <c r="I46" s="9">
        <v>0.05</v>
      </c>
      <c r="J46" s="3" t="s">
        <v>271</v>
      </c>
      <c r="K46" s="3" t="s">
        <v>276</v>
      </c>
      <c r="L46" s="3">
        <f t="shared" si="0"/>
        <v>30780</v>
      </c>
      <c r="M46">
        <f t="shared" si="1"/>
        <v>384.75</v>
      </c>
    </row>
    <row r="47" spans="1:13" x14ac:dyDescent="0.3">
      <c r="A47" s="3" t="s">
        <v>56</v>
      </c>
      <c r="B47" s="3" t="s">
        <v>145</v>
      </c>
      <c r="C47" s="3" t="s">
        <v>207</v>
      </c>
      <c r="D47" s="3" t="s">
        <v>250</v>
      </c>
      <c r="E47" s="3" t="s">
        <v>253</v>
      </c>
      <c r="F47" s="3" t="s">
        <v>268</v>
      </c>
      <c r="G47" s="3">
        <v>3</v>
      </c>
      <c r="H47" s="3">
        <v>21786</v>
      </c>
      <c r="I47" s="9">
        <v>0.08</v>
      </c>
      <c r="J47" s="3" t="s">
        <v>272</v>
      </c>
      <c r="K47" s="3" t="s">
        <v>275</v>
      </c>
      <c r="L47" s="3">
        <f t="shared" si="0"/>
        <v>65358</v>
      </c>
      <c r="M47">
        <f t="shared" si="1"/>
        <v>1742.88</v>
      </c>
    </row>
    <row r="48" spans="1:13" x14ac:dyDescent="0.3">
      <c r="A48" s="3" t="s">
        <v>57</v>
      </c>
      <c r="B48" s="3" t="s">
        <v>127</v>
      </c>
      <c r="C48" s="3" t="s">
        <v>208</v>
      </c>
      <c r="D48" s="3" t="s">
        <v>252</v>
      </c>
      <c r="E48" s="3" t="s">
        <v>254</v>
      </c>
      <c r="F48" s="3" t="s">
        <v>262</v>
      </c>
      <c r="G48" s="3">
        <v>5</v>
      </c>
      <c r="H48" s="3">
        <v>5005</v>
      </c>
      <c r="I48" s="9">
        <v>7.0000000000000007E-2</v>
      </c>
      <c r="J48" s="3" t="s">
        <v>272</v>
      </c>
      <c r="K48" s="3" t="s">
        <v>275</v>
      </c>
      <c r="L48" s="3">
        <f t="shared" si="0"/>
        <v>25025</v>
      </c>
      <c r="M48">
        <f t="shared" si="1"/>
        <v>350.35</v>
      </c>
    </row>
    <row r="49" spans="1:13" x14ac:dyDescent="0.3">
      <c r="A49" s="3" t="s">
        <v>58</v>
      </c>
      <c r="B49" s="3" t="s">
        <v>146</v>
      </c>
      <c r="C49" s="3" t="s">
        <v>209</v>
      </c>
      <c r="D49" s="3" t="s">
        <v>250</v>
      </c>
      <c r="E49" s="3" t="s">
        <v>255</v>
      </c>
      <c r="F49" s="3" t="s">
        <v>270</v>
      </c>
      <c r="G49" s="3">
        <v>1</v>
      </c>
      <c r="H49" s="3">
        <v>19145</v>
      </c>
      <c r="I49" s="9">
        <v>0.1</v>
      </c>
      <c r="J49" s="3" t="s">
        <v>274</v>
      </c>
      <c r="K49" s="3" t="s">
        <v>277</v>
      </c>
      <c r="L49" s="3">
        <f t="shared" si="0"/>
        <v>19145</v>
      </c>
      <c r="M49">
        <f t="shared" si="1"/>
        <v>1914.5</v>
      </c>
    </row>
    <row r="50" spans="1:13" x14ac:dyDescent="0.3">
      <c r="A50" s="3" t="s">
        <v>59</v>
      </c>
      <c r="B50" s="3" t="s">
        <v>111</v>
      </c>
      <c r="C50" s="3" t="s">
        <v>167</v>
      </c>
      <c r="D50" s="3" t="s">
        <v>250</v>
      </c>
      <c r="E50" s="3" t="s">
        <v>253</v>
      </c>
      <c r="F50" s="3" t="s">
        <v>268</v>
      </c>
      <c r="G50" s="3">
        <v>2</v>
      </c>
      <c r="H50" s="3">
        <v>24938</v>
      </c>
      <c r="I50" s="9">
        <v>7.0000000000000007E-2</v>
      </c>
      <c r="J50" s="3" t="s">
        <v>271</v>
      </c>
      <c r="K50" s="3" t="s">
        <v>277</v>
      </c>
      <c r="L50" s="3">
        <f t="shared" si="0"/>
        <v>49876</v>
      </c>
      <c r="M50">
        <f t="shared" si="1"/>
        <v>1745.66</v>
      </c>
    </row>
    <row r="51" spans="1:13" x14ac:dyDescent="0.3">
      <c r="A51" s="3" t="s">
        <v>60</v>
      </c>
      <c r="B51" s="3" t="s">
        <v>135</v>
      </c>
      <c r="C51" s="3" t="s">
        <v>210</v>
      </c>
      <c r="D51" s="3" t="s">
        <v>249</v>
      </c>
      <c r="E51" s="3" t="s">
        <v>253</v>
      </c>
      <c r="F51" s="3" t="s">
        <v>267</v>
      </c>
      <c r="G51" s="3">
        <v>3</v>
      </c>
      <c r="H51" s="3">
        <v>23499</v>
      </c>
      <c r="I51" s="9">
        <v>0.1</v>
      </c>
      <c r="J51" s="3" t="s">
        <v>272</v>
      </c>
      <c r="K51" s="3" t="s">
        <v>275</v>
      </c>
      <c r="L51" s="3">
        <f t="shared" si="0"/>
        <v>70497</v>
      </c>
      <c r="M51">
        <f t="shared" si="1"/>
        <v>2349.9</v>
      </c>
    </row>
    <row r="52" spans="1:13" x14ac:dyDescent="0.3">
      <c r="A52" s="3" t="s">
        <v>61</v>
      </c>
      <c r="B52" s="3" t="s">
        <v>124</v>
      </c>
      <c r="C52" s="3" t="s">
        <v>211</v>
      </c>
      <c r="D52" s="3" t="s">
        <v>250</v>
      </c>
      <c r="E52" s="3" t="s">
        <v>254</v>
      </c>
      <c r="F52" s="3" t="s">
        <v>265</v>
      </c>
      <c r="G52" s="3">
        <v>2</v>
      </c>
      <c r="H52" s="3">
        <v>17167</v>
      </c>
      <c r="I52" s="9">
        <v>7.0000000000000007E-2</v>
      </c>
      <c r="J52" s="3" t="s">
        <v>271</v>
      </c>
      <c r="K52" s="3" t="s">
        <v>277</v>
      </c>
      <c r="L52" s="3">
        <f t="shared" si="0"/>
        <v>34334</v>
      </c>
      <c r="M52">
        <f t="shared" si="1"/>
        <v>1201.69</v>
      </c>
    </row>
    <row r="53" spans="1:13" x14ac:dyDescent="0.3">
      <c r="A53" s="3" t="s">
        <v>62</v>
      </c>
      <c r="B53" s="3" t="s">
        <v>117</v>
      </c>
      <c r="C53" s="3" t="s">
        <v>176</v>
      </c>
      <c r="D53" s="3" t="s">
        <v>250</v>
      </c>
      <c r="E53" s="3" t="s">
        <v>255</v>
      </c>
      <c r="F53" s="3" t="s">
        <v>264</v>
      </c>
      <c r="G53" s="3">
        <v>6</v>
      </c>
      <c r="H53" s="3">
        <v>27502</v>
      </c>
      <c r="I53" s="9">
        <v>7.0000000000000007E-2</v>
      </c>
      <c r="J53" s="3" t="s">
        <v>271</v>
      </c>
      <c r="K53" s="3" t="s">
        <v>276</v>
      </c>
      <c r="L53" s="3">
        <f t="shared" si="0"/>
        <v>165012</v>
      </c>
      <c r="M53">
        <f t="shared" si="1"/>
        <v>1925.14</v>
      </c>
    </row>
    <row r="54" spans="1:13" x14ac:dyDescent="0.3">
      <c r="A54" s="3" t="s">
        <v>63</v>
      </c>
      <c r="B54" s="3" t="s">
        <v>132</v>
      </c>
      <c r="C54" s="3" t="s">
        <v>212</v>
      </c>
      <c r="D54" s="3" t="s">
        <v>252</v>
      </c>
      <c r="E54" s="3" t="s">
        <v>254</v>
      </c>
      <c r="F54" s="3" t="s">
        <v>265</v>
      </c>
      <c r="G54" s="3">
        <v>2</v>
      </c>
      <c r="H54" s="3">
        <v>1827</v>
      </c>
      <c r="I54" s="9">
        <v>0.05</v>
      </c>
      <c r="J54" s="3" t="s">
        <v>274</v>
      </c>
      <c r="K54" s="3" t="s">
        <v>275</v>
      </c>
      <c r="L54" s="3">
        <f t="shared" si="0"/>
        <v>3654</v>
      </c>
      <c r="M54">
        <f t="shared" si="1"/>
        <v>91.350000000000009</v>
      </c>
    </row>
    <row r="55" spans="1:13" x14ac:dyDescent="0.3">
      <c r="A55" s="3" t="s">
        <v>64</v>
      </c>
      <c r="B55" s="3" t="s">
        <v>115</v>
      </c>
      <c r="C55" s="3" t="s">
        <v>213</v>
      </c>
      <c r="D55" s="3" t="s">
        <v>250</v>
      </c>
      <c r="E55" s="3" t="s">
        <v>254</v>
      </c>
      <c r="F55" s="3" t="s">
        <v>257</v>
      </c>
      <c r="G55" s="3">
        <v>6</v>
      </c>
      <c r="H55" s="3">
        <v>13499</v>
      </c>
      <c r="I55" s="9">
        <v>0.05</v>
      </c>
      <c r="J55" s="3" t="s">
        <v>274</v>
      </c>
      <c r="K55" s="3" t="s">
        <v>275</v>
      </c>
      <c r="L55" s="3">
        <f t="shared" si="0"/>
        <v>80994</v>
      </c>
      <c r="M55">
        <f t="shared" si="1"/>
        <v>674.95</v>
      </c>
    </row>
    <row r="56" spans="1:13" x14ac:dyDescent="0.3">
      <c r="A56" s="3" t="s">
        <v>65</v>
      </c>
      <c r="B56" s="3" t="s">
        <v>129</v>
      </c>
      <c r="C56" s="3" t="s">
        <v>214</v>
      </c>
      <c r="D56" s="3" t="s">
        <v>249</v>
      </c>
      <c r="E56" s="3" t="s">
        <v>254</v>
      </c>
      <c r="F56" s="3" t="s">
        <v>257</v>
      </c>
      <c r="G56" s="3">
        <v>1</v>
      </c>
      <c r="H56" s="3">
        <v>21605</v>
      </c>
      <c r="I56" s="9">
        <v>7.0000000000000007E-2</v>
      </c>
      <c r="J56" s="3" t="s">
        <v>273</v>
      </c>
      <c r="K56" s="3" t="s">
        <v>276</v>
      </c>
      <c r="L56" s="3">
        <f t="shared" si="0"/>
        <v>21605</v>
      </c>
      <c r="M56">
        <f t="shared" si="1"/>
        <v>1512.3500000000001</v>
      </c>
    </row>
    <row r="57" spans="1:13" x14ac:dyDescent="0.3">
      <c r="A57" s="3" t="s">
        <v>66</v>
      </c>
      <c r="B57" s="3" t="s">
        <v>144</v>
      </c>
      <c r="C57" s="3" t="s">
        <v>215</v>
      </c>
      <c r="D57" s="3" t="s">
        <v>250</v>
      </c>
      <c r="E57" s="3" t="s">
        <v>254</v>
      </c>
      <c r="F57" s="3" t="s">
        <v>266</v>
      </c>
      <c r="G57" s="3">
        <v>2</v>
      </c>
      <c r="H57" s="3">
        <v>40921</v>
      </c>
      <c r="I57" s="9">
        <v>0.1</v>
      </c>
      <c r="J57" s="3" t="s">
        <v>274</v>
      </c>
      <c r="K57" s="3" t="s">
        <v>277</v>
      </c>
      <c r="L57" s="3">
        <f t="shared" si="0"/>
        <v>81842</v>
      </c>
      <c r="M57">
        <f t="shared" si="1"/>
        <v>4092.1000000000004</v>
      </c>
    </row>
    <row r="58" spans="1:13" x14ac:dyDescent="0.3">
      <c r="A58" s="3" t="s">
        <v>67</v>
      </c>
      <c r="B58" s="3" t="s">
        <v>147</v>
      </c>
      <c r="C58" s="3" t="s">
        <v>206</v>
      </c>
      <c r="D58" s="3" t="s">
        <v>249</v>
      </c>
      <c r="E58" s="3" t="s">
        <v>255</v>
      </c>
      <c r="F58" s="3" t="s">
        <v>259</v>
      </c>
      <c r="G58" s="3">
        <v>2</v>
      </c>
      <c r="H58" s="3">
        <v>10631</v>
      </c>
      <c r="I58" s="9">
        <v>7.0000000000000007E-2</v>
      </c>
      <c r="J58" s="3" t="s">
        <v>271</v>
      </c>
      <c r="K58" s="3" t="s">
        <v>275</v>
      </c>
      <c r="L58" s="3">
        <f t="shared" si="0"/>
        <v>21262</v>
      </c>
      <c r="M58">
        <f t="shared" si="1"/>
        <v>744.17000000000007</v>
      </c>
    </row>
    <row r="59" spans="1:13" x14ac:dyDescent="0.3">
      <c r="A59" s="3" t="s">
        <v>68</v>
      </c>
      <c r="B59" s="3" t="s">
        <v>112</v>
      </c>
      <c r="C59" s="3" t="s">
        <v>216</v>
      </c>
      <c r="D59" s="3" t="s">
        <v>252</v>
      </c>
      <c r="E59" s="3" t="s">
        <v>253</v>
      </c>
      <c r="F59" s="3" t="s">
        <v>268</v>
      </c>
      <c r="G59" s="3">
        <v>2</v>
      </c>
      <c r="H59" s="3">
        <v>24145</v>
      </c>
      <c r="I59" s="9">
        <v>0.05</v>
      </c>
      <c r="J59" s="3" t="s">
        <v>272</v>
      </c>
      <c r="K59" s="3" t="s">
        <v>275</v>
      </c>
      <c r="L59" s="3">
        <f t="shared" si="0"/>
        <v>48290</v>
      </c>
      <c r="M59">
        <f t="shared" si="1"/>
        <v>1207.25</v>
      </c>
    </row>
    <row r="60" spans="1:13" x14ac:dyDescent="0.3">
      <c r="A60" s="3" t="s">
        <v>69</v>
      </c>
      <c r="B60" s="3" t="s">
        <v>144</v>
      </c>
      <c r="C60" s="3" t="s">
        <v>217</v>
      </c>
      <c r="D60" s="3" t="s">
        <v>249</v>
      </c>
      <c r="E60" s="3" t="s">
        <v>255</v>
      </c>
      <c r="F60" s="3" t="s">
        <v>261</v>
      </c>
      <c r="G60" s="3">
        <v>3</v>
      </c>
      <c r="H60" s="3">
        <v>18678</v>
      </c>
      <c r="I60" s="9">
        <v>0</v>
      </c>
      <c r="J60" s="3" t="s">
        <v>274</v>
      </c>
      <c r="K60" s="3" t="s">
        <v>277</v>
      </c>
      <c r="L60" s="3">
        <f t="shared" si="0"/>
        <v>56034</v>
      </c>
      <c r="M60">
        <f t="shared" si="1"/>
        <v>0</v>
      </c>
    </row>
    <row r="61" spans="1:13" x14ac:dyDescent="0.3">
      <c r="A61" s="3" t="s">
        <v>70</v>
      </c>
      <c r="B61" s="3" t="s">
        <v>148</v>
      </c>
      <c r="C61" s="3" t="s">
        <v>218</v>
      </c>
      <c r="D61" s="3" t="s">
        <v>249</v>
      </c>
      <c r="E61" s="3" t="s">
        <v>254</v>
      </c>
      <c r="F61" s="3" t="s">
        <v>262</v>
      </c>
      <c r="G61" s="3">
        <v>6</v>
      </c>
      <c r="H61" s="3">
        <v>49603</v>
      </c>
      <c r="I61" s="9">
        <v>0.05</v>
      </c>
      <c r="J61" s="3" t="s">
        <v>274</v>
      </c>
      <c r="K61" s="3" t="s">
        <v>275</v>
      </c>
      <c r="L61" s="3">
        <f t="shared" si="0"/>
        <v>297618</v>
      </c>
      <c r="M61">
        <f t="shared" si="1"/>
        <v>2480.15</v>
      </c>
    </row>
    <row r="62" spans="1:13" x14ac:dyDescent="0.3">
      <c r="A62" s="3" t="s">
        <v>71</v>
      </c>
      <c r="B62" s="3" t="s">
        <v>145</v>
      </c>
      <c r="C62" s="3" t="s">
        <v>219</v>
      </c>
      <c r="D62" s="3" t="s">
        <v>251</v>
      </c>
      <c r="E62" s="3" t="s">
        <v>254</v>
      </c>
      <c r="F62" s="3" t="s">
        <v>262</v>
      </c>
      <c r="G62" s="3">
        <v>4</v>
      </c>
      <c r="H62" s="3">
        <v>59215</v>
      </c>
      <c r="I62" s="9">
        <v>0.1</v>
      </c>
      <c r="J62" s="3" t="s">
        <v>273</v>
      </c>
      <c r="K62" s="3" t="s">
        <v>276</v>
      </c>
      <c r="L62" s="3">
        <f t="shared" si="0"/>
        <v>236860</v>
      </c>
      <c r="M62">
        <f t="shared" si="1"/>
        <v>5921.5</v>
      </c>
    </row>
    <row r="63" spans="1:13" x14ac:dyDescent="0.3">
      <c r="A63" s="3" t="s">
        <v>72</v>
      </c>
      <c r="B63" s="3" t="s">
        <v>149</v>
      </c>
      <c r="C63" s="3" t="s">
        <v>220</v>
      </c>
      <c r="D63" s="3" t="s">
        <v>250</v>
      </c>
      <c r="E63" s="3" t="s">
        <v>254</v>
      </c>
      <c r="F63" s="3" t="s">
        <v>265</v>
      </c>
      <c r="G63" s="3">
        <v>4</v>
      </c>
      <c r="H63" s="3">
        <v>5781</v>
      </c>
      <c r="I63" s="9">
        <v>0</v>
      </c>
      <c r="J63" s="3" t="s">
        <v>271</v>
      </c>
      <c r="K63" s="3" t="s">
        <v>277</v>
      </c>
      <c r="L63" s="3">
        <f t="shared" si="0"/>
        <v>23124</v>
      </c>
      <c r="M63">
        <f t="shared" si="1"/>
        <v>0</v>
      </c>
    </row>
    <row r="64" spans="1:13" x14ac:dyDescent="0.3">
      <c r="A64" s="3" t="s">
        <v>73</v>
      </c>
      <c r="B64" s="3" t="s">
        <v>140</v>
      </c>
      <c r="C64" s="3" t="s">
        <v>221</v>
      </c>
      <c r="D64" s="3" t="s">
        <v>251</v>
      </c>
      <c r="E64" s="3" t="s">
        <v>255</v>
      </c>
      <c r="F64" s="3" t="s">
        <v>259</v>
      </c>
      <c r="G64" s="3">
        <v>1</v>
      </c>
      <c r="H64" s="3">
        <v>16609</v>
      </c>
      <c r="I64" s="9">
        <v>0.1</v>
      </c>
      <c r="J64" s="3" t="s">
        <v>272</v>
      </c>
      <c r="K64" s="3" t="s">
        <v>276</v>
      </c>
      <c r="L64" s="3">
        <f t="shared" si="0"/>
        <v>16609</v>
      </c>
      <c r="M64">
        <f t="shared" si="1"/>
        <v>1660.9</v>
      </c>
    </row>
    <row r="65" spans="1:13" x14ac:dyDescent="0.3">
      <c r="A65" s="3" t="s">
        <v>74</v>
      </c>
      <c r="B65" s="3" t="s">
        <v>148</v>
      </c>
      <c r="C65" s="3" t="s">
        <v>222</v>
      </c>
      <c r="D65" s="3" t="s">
        <v>249</v>
      </c>
      <c r="E65" s="3" t="s">
        <v>253</v>
      </c>
      <c r="F65" s="3" t="s">
        <v>263</v>
      </c>
      <c r="G65" s="3">
        <v>2</v>
      </c>
      <c r="H65" s="3">
        <v>28230</v>
      </c>
      <c r="I65" s="9">
        <v>0.08</v>
      </c>
      <c r="J65" s="3" t="s">
        <v>273</v>
      </c>
      <c r="K65" s="3" t="s">
        <v>275</v>
      </c>
      <c r="L65" s="3">
        <f t="shared" si="0"/>
        <v>56460</v>
      </c>
      <c r="M65">
        <f t="shared" si="1"/>
        <v>2258.4</v>
      </c>
    </row>
    <row r="66" spans="1:13" x14ac:dyDescent="0.3">
      <c r="A66" s="3" t="s">
        <v>75</v>
      </c>
      <c r="B66" s="3" t="s">
        <v>150</v>
      </c>
      <c r="C66" s="3" t="s">
        <v>223</v>
      </c>
      <c r="D66" s="3" t="s">
        <v>252</v>
      </c>
      <c r="E66" s="3" t="s">
        <v>253</v>
      </c>
      <c r="F66" s="3" t="s">
        <v>256</v>
      </c>
      <c r="G66" s="3">
        <v>2</v>
      </c>
      <c r="H66" s="3">
        <v>23940</v>
      </c>
      <c r="I66" s="9">
        <v>0.05</v>
      </c>
      <c r="J66" s="3" t="s">
        <v>274</v>
      </c>
      <c r="K66" s="3" t="s">
        <v>275</v>
      </c>
      <c r="L66" s="3">
        <f t="shared" si="0"/>
        <v>47880</v>
      </c>
      <c r="M66">
        <f t="shared" si="1"/>
        <v>1197</v>
      </c>
    </row>
    <row r="67" spans="1:13" x14ac:dyDescent="0.3">
      <c r="A67" s="3" t="s">
        <v>76</v>
      </c>
      <c r="B67" s="3" t="s">
        <v>151</v>
      </c>
      <c r="C67" s="3" t="s">
        <v>224</v>
      </c>
      <c r="D67" s="3" t="s">
        <v>251</v>
      </c>
      <c r="E67" s="3" t="s">
        <v>254</v>
      </c>
      <c r="F67" s="3" t="s">
        <v>258</v>
      </c>
      <c r="G67" s="3">
        <v>2</v>
      </c>
      <c r="H67" s="3">
        <v>46966</v>
      </c>
      <c r="I67" s="9">
        <v>0</v>
      </c>
      <c r="J67" s="3" t="s">
        <v>274</v>
      </c>
      <c r="K67" s="3" t="s">
        <v>276</v>
      </c>
      <c r="L67" s="3">
        <f t="shared" ref="L67:L101" si="2">G67*H67</f>
        <v>93932</v>
      </c>
      <c r="M67">
        <f t="shared" ref="M67:M103" si="3">I67*H67</f>
        <v>0</v>
      </c>
    </row>
    <row r="68" spans="1:13" x14ac:dyDescent="0.3">
      <c r="A68" s="3" t="s">
        <v>77</v>
      </c>
      <c r="B68" s="3" t="s">
        <v>114</v>
      </c>
      <c r="C68" s="3" t="s">
        <v>225</v>
      </c>
      <c r="D68" s="3" t="s">
        <v>250</v>
      </c>
      <c r="E68" s="3" t="s">
        <v>254</v>
      </c>
      <c r="F68" s="3" t="s">
        <v>258</v>
      </c>
      <c r="G68" s="3">
        <v>3</v>
      </c>
      <c r="H68" s="3">
        <v>32387</v>
      </c>
      <c r="I68" s="9">
        <v>0.08</v>
      </c>
      <c r="J68" s="3" t="s">
        <v>273</v>
      </c>
      <c r="K68" s="3" t="s">
        <v>275</v>
      </c>
      <c r="L68" s="3">
        <f t="shared" si="2"/>
        <v>97161</v>
      </c>
      <c r="M68">
        <f t="shared" si="3"/>
        <v>2590.96</v>
      </c>
    </row>
    <row r="69" spans="1:13" x14ac:dyDescent="0.3">
      <c r="A69" s="3" t="s">
        <v>78</v>
      </c>
      <c r="B69" s="3" t="s">
        <v>152</v>
      </c>
      <c r="C69" s="3" t="s">
        <v>226</v>
      </c>
      <c r="D69" s="3" t="s">
        <v>249</v>
      </c>
      <c r="E69" s="3" t="s">
        <v>254</v>
      </c>
      <c r="F69" s="3" t="s">
        <v>257</v>
      </c>
      <c r="G69" s="3">
        <v>6</v>
      </c>
      <c r="H69" s="3">
        <v>49168</v>
      </c>
      <c r="I69" s="9">
        <v>0.1</v>
      </c>
      <c r="J69" s="3" t="s">
        <v>273</v>
      </c>
      <c r="K69" s="3" t="s">
        <v>276</v>
      </c>
      <c r="L69" s="3">
        <f t="shared" si="2"/>
        <v>295008</v>
      </c>
      <c r="M69">
        <f t="shared" si="3"/>
        <v>4916.8</v>
      </c>
    </row>
    <row r="70" spans="1:13" x14ac:dyDescent="0.3">
      <c r="A70" s="3" t="s">
        <v>79</v>
      </c>
      <c r="B70" s="3" t="s">
        <v>144</v>
      </c>
      <c r="C70" s="3" t="s">
        <v>227</v>
      </c>
      <c r="D70" s="3" t="s">
        <v>250</v>
      </c>
      <c r="E70" s="3" t="s">
        <v>253</v>
      </c>
      <c r="F70" s="3" t="s">
        <v>268</v>
      </c>
      <c r="G70" s="3">
        <v>2</v>
      </c>
      <c r="H70" s="3">
        <v>24776</v>
      </c>
      <c r="I70" s="9">
        <v>0.05</v>
      </c>
      <c r="J70" s="3" t="s">
        <v>272</v>
      </c>
      <c r="K70" s="3" t="s">
        <v>277</v>
      </c>
      <c r="L70" s="3">
        <f t="shared" si="2"/>
        <v>49552</v>
      </c>
      <c r="M70">
        <f t="shared" si="3"/>
        <v>1238.8000000000002</v>
      </c>
    </row>
    <row r="71" spans="1:13" x14ac:dyDescent="0.3">
      <c r="A71" s="3" t="s">
        <v>80</v>
      </c>
      <c r="B71" s="3" t="s">
        <v>135</v>
      </c>
      <c r="C71" s="3" t="s">
        <v>228</v>
      </c>
      <c r="D71" s="3" t="s">
        <v>249</v>
      </c>
      <c r="E71" s="3" t="s">
        <v>253</v>
      </c>
      <c r="F71" s="3" t="s">
        <v>268</v>
      </c>
      <c r="G71" s="3">
        <v>2</v>
      </c>
      <c r="H71" s="3">
        <v>27547</v>
      </c>
      <c r="I71" s="9">
        <v>0.08</v>
      </c>
      <c r="J71" s="3" t="s">
        <v>271</v>
      </c>
      <c r="K71" s="3" t="s">
        <v>277</v>
      </c>
      <c r="L71" s="3">
        <f t="shared" si="2"/>
        <v>55094</v>
      </c>
      <c r="M71">
        <f t="shared" si="3"/>
        <v>2203.7600000000002</v>
      </c>
    </row>
    <row r="72" spans="1:13" x14ac:dyDescent="0.3">
      <c r="A72" s="3" t="s">
        <v>81</v>
      </c>
      <c r="B72" s="3" t="s">
        <v>128</v>
      </c>
      <c r="C72" s="3" t="s">
        <v>181</v>
      </c>
      <c r="D72" s="3" t="s">
        <v>250</v>
      </c>
      <c r="E72" s="3" t="s">
        <v>253</v>
      </c>
      <c r="F72" s="3" t="s">
        <v>268</v>
      </c>
      <c r="G72" s="3">
        <v>4</v>
      </c>
      <c r="H72" s="3">
        <v>7811</v>
      </c>
      <c r="I72" s="9">
        <v>7.0000000000000007E-2</v>
      </c>
      <c r="J72" s="3" t="s">
        <v>272</v>
      </c>
      <c r="K72" s="3" t="s">
        <v>277</v>
      </c>
      <c r="L72" s="3">
        <f t="shared" si="2"/>
        <v>31244</v>
      </c>
      <c r="M72">
        <f t="shared" si="3"/>
        <v>546.7700000000001</v>
      </c>
    </row>
    <row r="73" spans="1:13" x14ac:dyDescent="0.3">
      <c r="A73" s="3" t="s">
        <v>82</v>
      </c>
      <c r="B73" s="3" t="s">
        <v>131</v>
      </c>
      <c r="C73" s="3" t="s">
        <v>229</v>
      </c>
      <c r="D73" s="3" t="s">
        <v>249</v>
      </c>
      <c r="E73" s="3" t="s">
        <v>253</v>
      </c>
      <c r="F73" s="3" t="s">
        <v>260</v>
      </c>
      <c r="G73" s="3">
        <v>5</v>
      </c>
      <c r="H73" s="3">
        <v>24261</v>
      </c>
      <c r="I73" s="9">
        <v>7.0000000000000007E-2</v>
      </c>
      <c r="J73" s="3" t="s">
        <v>272</v>
      </c>
      <c r="K73" s="3" t="s">
        <v>277</v>
      </c>
      <c r="L73" s="3">
        <f t="shared" si="2"/>
        <v>121305</v>
      </c>
      <c r="M73">
        <f t="shared" si="3"/>
        <v>1698.2700000000002</v>
      </c>
    </row>
    <row r="74" spans="1:13" x14ac:dyDescent="0.3">
      <c r="A74" s="3" t="s">
        <v>83</v>
      </c>
      <c r="B74" s="3" t="s">
        <v>149</v>
      </c>
      <c r="C74" s="3" t="s">
        <v>176</v>
      </c>
      <c r="D74" s="3" t="s">
        <v>252</v>
      </c>
      <c r="E74" s="3" t="s">
        <v>254</v>
      </c>
      <c r="F74" s="3" t="s">
        <v>258</v>
      </c>
      <c r="G74" s="3">
        <v>4</v>
      </c>
      <c r="H74" s="3">
        <v>49747</v>
      </c>
      <c r="I74" s="9">
        <v>0.08</v>
      </c>
      <c r="J74" s="3" t="s">
        <v>274</v>
      </c>
      <c r="K74" s="3" t="s">
        <v>275</v>
      </c>
      <c r="L74" s="3">
        <f t="shared" si="2"/>
        <v>198988</v>
      </c>
      <c r="M74">
        <f t="shared" si="3"/>
        <v>3979.76</v>
      </c>
    </row>
    <row r="75" spans="1:13" x14ac:dyDescent="0.3">
      <c r="A75" s="3" t="s">
        <v>84</v>
      </c>
      <c r="B75" s="3" t="s">
        <v>153</v>
      </c>
      <c r="C75" s="3" t="s">
        <v>230</v>
      </c>
      <c r="D75" s="3" t="s">
        <v>250</v>
      </c>
      <c r="E75" s="3" t="s">
        <v>254</v>
      </c>
      <c r="F75" s="3" t="s">
        <v>266</v>
      </c>
      <c r="G75" s="3">
        <v>6</v>
      </c>
      <c r="H75" s="3">
        <v>36764</v>
      </c>
      <c r="I75" s="9">
        <v>0.05</v>
      </c>
      <c r="J75" s="3" t="s">
        <v>271</v>
      </c>
      <c r="K75" s="3" t="s">
        <v>275</v>
      </c>
      <c r="L75" s="3">
        <f t="shared" si="2"/>
        <v>220584</v>
      </c>
      <c r="M75">
        <f t="shared" si="3"/>
        <v>1838.2</v>
      </c>
    </row>
    <row r="76" spans="1:13" x14ac:dyDescent="0.3">
      <c r="A76" s="3" t="s">
        <v>85</v>
      </c>
      <c r="B76" s="3" t="s">
        <v>136</v>
      </c>
      <c r="C76" s="3" t="s">
        <v>231</v>
      </c>
      <c r="D76" s="3" t="s">
        <v>249</v>
      </c>
      <c r="E76" s="3" t="s">
        <v>255</v>
      </c>
      <c r="F76" s="3" t="s">
        <v>270</v>
      </c>
      <c r="G76" s="3">
        <v>6</v>
      </c>
      <c r="H76" s="3">
        <v>19244</v>
      </c>
      <c r="I76" s="9">
        <v>0</v>
      </c>
      <c r="J76" s="3" t="s">
        <v>273</v>
      </c>
      <c r="K76" s="3" t="s">
        <v>276</v>
      </c>
      <c r="L76" s="3">
        <f t="shared" si="2"/>
        <v>115464</v>
      </c>
      <c r="M76">
        <f t="shared" si="3"/>
        <v>0</v>
      </c>
    </row>
    <row r="77" spans="1:13" x14ac:dyDescent="0.3">
      <c r="A77" s="3" t="s">
        <v>86</v>
      </c>
      <c r="B77" s="3" t="s">
        <v>154</v>
      </c>
      <c r="C77" s="3" t="s">
        <v>232</v>
      </c>
      <c r="D77" s="3" t="s">
        <v>250</v>
      </c>
      <c r="E77" s="3" t="s">
        <v>253</v>
      </c>
      <c r="F77" s="3" t="s">
        <v>267</v>
      </c>
      <c r="G77" s="3">
        <v>5</v>
      </c>
      <c r="H77" s="3">
        <v>14277</v>
      </c>
      <c r="I77" s="9">
        <v>0.08</v>
      </c>
      <c r="J77" s="3" t="s">
        <v>273</v>
      </c>
      <c r="K77" s="3" t="s">
        <v>276</v>
      </c>
      <c r="L77" s="3">
        <f t="shared" si="2"/>
        <v>71385</v>
      </c>
      <c r="M77">
        <f t="shared" si="3"/>
        <v>1142.1600000000001</v>
      </c>
    </row>
    <row r="78" spans="1:13" x14ac:dyDescent="0.3">
      <c r="A78" s="3" t="s">
        <v>87</v>
      </c>
      <c r="B78" s="3" t="s">
        <v>111</v>
      </c>
      <c r="C78" s="3" t="s">
        <v>233</v>
      </c>
      <c r="D78" s="3" t="s">
        <v>249</v>
      </c>
      <c r="E78" s="3" t="s">
        <v>253</v>
      </c>
      <c r="F78" s="3" t="s">
        <v>267</v>
      </c>
      <c r="G78" s="3">
        <v>5</v>
      </c>
      <c r="H78" s="3">
        <v>12589</v>
      </c>
      <c r="I78" s="9">
        <v>0.08</v>
      </c>
      <c r="J78" s="3" t="s">
        <v>272</v>
      </c>
      <c r="K78" s="3" t="s">
        <v>276</v>
      </c>
      <c r="L78" s="3">
        <f t="shared" si="2"/>
        <v>62945</v>
      </c>
      <c r="M78">
        <f t="shared" si="3"/>
        <v>1007.12</v>
      </c>
    </row>
    <row r="79" spans="1:13" x14ac:dyDescent="0.3">
      <c r="A79" s="3" t="s">
        <v>88</v>
      </c>
      <c r="B79" s="3" t="s">
        <v>155</v>
      </c>
      <c r="C79" s="3" t="s">
        <v>234</v>
      </c>
      <c r="D79" s="3" t="s">
        <v>252</v>
      </c>
      <c r="E79" s="3" t="s">
        <v>253</v>
      </c>
      <c r="F79" s="3" t="s">
        <v>267</v>
      </c>
      <c r="G79" s="3">
        <v>1</v>
      </c>
      <c r="H79" s="3">
        <v>14495</v>
      </c>
      <c r="I79" s="9">
        <v>0</v>
      </c>
      <c r="J79" s="3" t="s">
        <v>273</v>
      </c>
      <c r="K79" s="3" t="s">
        <v>275</v>
      </c>
      <c r="L79" s="3">
        <f t="shared" si="2"/>
        <v>14495</v>
      </c>
      <c r="M79">
        <f t="shared" si="3"/>
        <v>0</v>
      </c>
    </row>
    <row r="80" spans="1:13" x14ac:dyDescent="0.3">
      <c r="A80" s="3" t="s">
        <v>89</v>
      </c>
      <c r="B80" s="3" t="s">
        <v>147</v>
      </c>
      <c r="C80" s="3" t="s">
        <v>235</v>
      </c>
      <c r="D80" s="3" t="s">
        <v>252</v>
      </c>
      <c r="E80" s="3" t="s">
        <v>255</v>
      </c>
      <c r="F80" s="3" t="s">
        <v>270</v>
      </c>
      <c r="G80" s="3">
        <v>1</v>
      </c>
      <c r="H80" s="3">
        <v>1122</v>
      </c>
      <c r="I80" s="9">
        <v>7.0000000000000007E-2</v>
      </c>
      <c r="J80" s="3" t="s">
        <v>271</v>
      </c>
      <c r="K80" s="3" t="s">
        <v>276</v>
      </c>
      <c r="L80" s="3">
        <f t="shared" si="2"/>
        <v>1122</v>
      </c>
      <c r="M80">
        <f t="shared" si="3"/>
        <v>78.540000000000006</v>
      </c>
    </row>
    <row r="81" spans="1:13" x14ac:dyDescent="0.3">
      <c r="A81" s="3" t="s">
        <v>90</v>
      </c>
      <c r="B81" s="3" t="s">
        <v>129</v>
      </c>
      <c r="C81" s="3" t="s">
        <v>236</v>
      </c>
      <c r="D81" s="3" t="s">
        <v>251</v>
      </c>
      <c r="E81" s="3" t="s">
        <v>255</v>
      </c>
      <c r="F81" s="3" t="s">
        <v>261</v>
      </c>
      <c r="G81" s="3">
        <v>2</v>
      </c>
      <c r="H81" s="3">
        <v>3711</v>
      </c>
      <c r="I81" s="9">
        <v>7.0000000000000007E-2</v>
      </c>
      <c r="J81" s="3" t="s">
        <v>271</v>
      </c>
      <c r="K81" s="3" t="s">
        <v>275</v>
      </c>
      <c r="L81" s="3">
        <f t="shared" si="2"/>
        <v>7422</v>
      </c>
      <c r="M81">
        <f t="shared" si="3"/>
        <v>259.77000000000004</v>
      </c>
    </row>
    <row r="82" spans="1:13" x14ac:dyDescent="0.3">
      <c r="A82" s="3" t="s">
        <v>91</v>
      </c>
      <c r="B82" s="3" t="s">
        <v>156</v>
      </c>
      <c r="C82" s="3" t="s">
        <v>237</v>
      </c>
      <c r="D82" s="3" t="s">
        <v>252</v>
      </c>
      <c r="E82" s="3" t="s">
        <v>253</v>
      </c>
      <c r="F82" s="3" t="s">
        <v>268</v>
      </c>
      <c r="G82" s="3">
        <v>2</v>
      </c>
      <c r="H82" s="3">
        <v>25085</v>
      </c>
      <c r="I82" s="9">
        <v>7.0000000000000007E-2</v>
      </c>
      <c r="J82" s="3" t="s">
        <v>273</v>
      </c>
      <c r="K82" s="3" t="s">
        <v>276</v>
      </c>
      <c r="L82" s="3">
        <f t="shared" si="2"/>
        <v>50170</v>
      </c>
      <c r="M82">
        <f t="shared" si="3"/>
        <v>1755.9500000000003</v>
      </c>
    </row>
    <row r="83" spans="1:13" x14ac:dyDescent="0.3">
      <c r="A83" s="3" t="s">
        <v>92</v>
      </c>
      <c r="B83" s="3" t="s">
        <v>157</v>
      </c>
      <c r="C83" s="3" t="s">
        <v>187</v>
      </c>
      <c r="D83" s="3" t="s">
        <v>251</v>
      </c>
      <c r="E83" s="3" t="s">
        <v>254</v>
      </c>
      <c r="F83" s="3" t="s">
        <v>257</v>
      </c>
      <c r="G83" s="3">
        <v>1</v>
      </c>
      <c r="H83" s="3">
        <v>9014</v>
      </c>
      <c r="I83" s="9">
        <v>0.1</v>
      </c>
      <c r="J83" s="3" t="s">
        <v>274</v>
      </c>
      <c r="K83" s="3" t="s">
        <v>276</v>
      </c>
      <c r="L83" s="3">
        <f t="shared" si="2"/>
        <v>9014</v>
      </c>
      <c r="M83">
        <f t="shared" si="3"/>
        <v>901.40000000000009</v>
      </c>
    </row>
    <row r="84" spans="1:13" x14ac:dyDescent="0.3">
      <c r="A84" s="3" t="s">
        <v>93</v>
      </c>
      <c r="B84" s="3" t="s">
        <v>158</v>
      </c>
      <c r="C84" s="3" t="s">
        <v>217</v>
      </c>
      <c r="D84" s="3" t="s">
        <v>251</v>
      </c>
      <c r="E84" s="3" t="s">
        <v>253</v>
      </c>
      <c r="F84" s="3" t="s">
        <v>268</v>
      </c>
      <c r="G84" s="3">
        <v>2</v>
      </c>
      <c r="H84" s="3">
        <v>26424</v>
      </c>
      <c r="I84" s="9">
        <v>0.08</v>
      </c>
      <c r="J84" s="3" t="s">
        <v>274</v>
      </c>
      <c r="K84" s="3" t="s">
        <v>277</v>
      </c>
      <c r="L84" s="3">
        <f t="shared" si="2"/>
        <v>52848</v>
      </c>
      <c r="M84">
        <f t="shared" si="3"/>
        <v>2113.92</v>
      </c>
    </row>
    <row r="85" spans="1:13" x14ac:dyDescent="0.3">
      <c r="A85" s="3" t="s">
        <v>94</v>
      </c>
      <c r="B85" s="3" t="s">
        <v>111</v>
      </c>
      <c r="C85" s="3" t="s">
        <v>238</v>
      </c>
      <c r="D85" s="3" t="s">
        <v>251</v>
      </c>
      <c r="E85" s="3" t="s">
        <v>253</v>
      </c>
      <c r="F85" s="3" t="s">
        <v>256</v>
      </c>
      <c r="G85" s="3">
        <v>5</v>
      </c>
      <c r="H85" s="3">
        <v>14164</v>
      </c>
      <c r="I85" s="9">
        <v>0.1</v>
      </c>
      <c r="J85" s="3" t="s">
        <v>273</v>
      </c>
      <c r="K85" s="3" t="s">
        <v>275</v>
      </c>
      <c r="L85" s="3">
        <f t="shared" si="2"/>
        <v>70820</v>
      </c>
      <c r="M85">
        <f t="shared" si="3"/>
        <v>1416.4</v>
      </c>
    </row>
    <row r="86" spans="1:13" x14ac:dyDescent="0.3">
      <c r="A86" s="3" t="s">
        <v>95</v>
      </c>
      <c r="B86" s="3" t="s">
        <v>138</v>
      </c>
      <c r="C86" s="3" t="s">
        <v>195</v>
      </c>
      <c r="D86" s="3" t="s">
        <v>251</v>
      </c>
      <c r="E86" s="3" t="s">
        <v>255</v>
      </c>
      <c r="F86" s="3" t="s">
        <v>259</v>
      </c>
      <c r="G86" s="3">
        <v>2</v>
      </c>
      <c r="H86" s="3">
        <v>24106</v>
      </c>
      <c r="I86" s="9">
        <v>0.08</v>
      </c>
      <c r="J86" s="3" t="s">
        <v>272</v>
      </c>
      <c r="K86" s="3" t="s">
        <v>277</v>
      </c>
      <c r="L86" s="3">
        <f t="shared" si="2"/>
        <v>48212</v>
      </c>
      <c r="M86">
        <f t="shared" si="3"/>
        <v>1928.48</v>
      </c>
    </row>
    <row r="87" spans="1:13" x14ac:dyDescent="0.3">
      <c r="A87" s="3" t="s">
        <v>96</v>
      </c>
      <c r="B87" s="3" t="s">
        <v>150</v>
      </c>
      <c r="C87" s="3" t="s">
        <v>239</v>
      </c>
      <c r="D87" s="3" t="s">
        <v>250</v>
      </c>
      <c r="E87" s="3" t="s">
        <v>253</v>
      </c>
      <c r="F87" s="3" t="s">
        <v>256</v>
      </c>
      <c r="G87" s="3">
        <v>3</v>
      </c>
      <c r="H87" s="3">
        <v>8499</v>
      </c>
      <c r="I87" s="9">
        <v>0</v>
      </c>
      <c r="J87" s="3" t="s">
        <v>271</v>
      </c>
      <c r="K87" s="3" t="s">
        <v>276</v>
      </c>
      <c r="L87" s="3">
        <f t="shared" si="2"/>
        <v>25497</v>
      </c>
      <c r="M87">
        <f t="shared" si="3"/>
        <v>0</v>
      </c>
    </row>
    <row r="88" spans="1:13" x14ac:dyDescent="0.3">
      <c r="A88" s="3" t="s">
        <v>97</v>
      </c>
      <c r="B88" s="3" t="s">
        <v>159</v>
      </c>
      <c r="C88" s="3" t="s">
        <v>167</v>
      </c>
      <c r="D88" s="3" t="s">
        <v>252</v>
      </c>
      <c r="E88" s="3" t="s">
        <v>255</v>
      </c>
      <c r="F88" s="3" t="s">
        <v>264</v>
      </c>
      <c r="G88" s="3">
        <v>5</v>
      </c>
      <c r="H88" s="3">
        <v>19919</v>
      </c>
      <c r="I88" s="9">
        <v>0</v>
      </c>
      <c r="J88" s="3" t="s">
        <v>272</v>
      </c>
      <c r="K88" s="3" t="s">
        <v>277</v>
      </c>
      <c r="L88" s="3">
        <f t="shared" si="2"/>
        <v>99595</v>
      </c>
      <c r="M88">
        <f t="shared" si="3"/>
        <v>0</v>
      </c>
    </row>
    <row r="89" spans="1:13" x14ac:dyDescent="0.3">
      <c r="A89" s="3" t="s">
        <v>98</v>
      </c>
      <c r="B89" s="3" t="s">
        <v>153</v>
      </c>
      <c r="C89" s="3" t="s">
        <v>219</v>
      </c>
      <c r="D89" s="3" t="s">
        <v>251</v>
      </c>
      <c r="E89" s="3" t="s">
        <v>255</v>
      </c>
      <c r="F89" s="3" t="s">
        <v>270</v>
      </c>
      <c r="G89" s="3">
        <v>1</v>
      </c>
      <c r="H89" s="3">
        <v>5133</v>
      </c>
      <c r="I89" s="9">
        <v>7.0000000000000007E-2</v>
      </c>
      <c r="J89" s="3" t="s">
        <v>273</v>
      </c>
      <c r="K89" s="3" t="s">
        <v>277</v>
      </c>
      <c r="L89" s="3">
        <f t="shared" si="2"/>
        <v>5133</v>
      </c>
      <c r="M89">
        <f t="shared" si="3"/>
        <v>359.31000000000006</v>
      </c>
    </row>
    <row r="90" spans="1:13" x14ac:dyDescent="0.3">
      <c r="A90" s="3" t="s">
        <v>99</v>
      </c>
      <c r="B90" s="3" t="s">
        <v>160</v>
      </c>
      <c r="C90" s="3" t="s">
        <v>216</v>
      </c>
      <c r="D90" s="3" t="s">
        <v>251</v>
      </c>
      <c r="E90" s="3" t="s">
        <v>255</v>
      </c>
      <c r="F90" s="3" t="s">
        <v>261</v>
      </c>
      <c r="G90" s="3">
        <v>3</v>
      </c>
      <c r="H90" s="3">
        <v>25924</v>
      </c>
      <c r="I90" s="9">
        <v>0.05</v>
      </c>
      <c r="J90" s="3" t="s">
        <v>272</v>
      </c>
      <c r="K90" s="3" t="s">
        <v>277</v>
      </c>
      <c r="L90" s="3">
        <f t="shared" si="2"/>
        <v>77772</v>
      </c>
      <c r="M90">
        <f t="shared" si="3"/>
        <v>1296.2</v>
      </c>
    </row>
    <row r="91" spans="1:13" x14ac:dyDescent="0.3">
      <c r="A91" s="3" t="s">
        <v>100</v>
      </c>
      <c r="B91" s="3" t="s">
        <v>161</v>
      </c>
      <c r="C91" s="3" t="s">
        <v>240</v>
      </c>
      <c r="D91" s="3" t="s">
        <v>249</v>
      </c>
      <c r="E91" s="3" t="s">
        <v>253</v>
      </c>
      <c r="F91" s="3" t="s">
        <v>267</v>
      </c>
      <c r="G91" s="3">
        <v>2</v>
      </c>
      <c r="H91" s="3">
        <v>16406</v>
      </c>
      <c r="I91" s="9">
        <v>0.08</v>
      </c>
      <c r="J91" s="3" t="s">
        <v>274</v>
      </c>
      <c r="K91" s="3" t="s">
        <v>275</v>
      </c>
      <c r="L91" s="3">
        <f t="shared" si="2"/>
        <v>32812</v>
      </c>
      <c r="M91">
        <f t="shared" si="3"/>
        <v>1312.48</v>
      </c>
    </row>
    <row r="92" spans="1:13" x14ac:dyDescent="0.3">
      <c r="A92" s="3" t="s">
        <v>101</v>
      </c>
      <c r="B92" s="3" t="s">
        <v>148</v>
      </c>
      <c r="C92" s="3" t="s">
        <v>241</v>
      </c>
      <c r="D92" s="3" t="s">
        <v>252</v>
      </c>
      <c r="E92" s="3" t="s">
        <v>255</v>
      </c>
      <c r="F92" s="3" t="s">
        <v>264</v>
      </c>
      <c r="G92" s="3">
        <v>4</v>
      </c>
      <c r="H92" s="3">
        <v>24529</v>
      </c>
      <c r="I92" s="9">
        <v>0</v>
      </c>
      <c r="J92" s="3" t="s">
        <v>273</v>
      </c>
      <c r="K92" s="3" t="s">
        <v>277</v>
      </c>
      <c r="L92" s="3">
        <f t="shared" si="2"/>
        <v>98116</v>
      </c>
      <c r="M92">
        <f t="shared" si="3"/>
        <v>0</v>
      </c>
    </row>
    <row r="93" spans="1:13" x14ac:dyDescent="0.3">
      <c r="A93" s="3" t="s">
        <v>102</v>
      </c>
      <c r="B93" s="3" t="s">
        <v>159</v>
      </c>
      <c r="C93" s="3" t="s">
        <v>242</v>
      </c>
      <c r="D93" s="3" t="s">
        <v>252</v>
      </c>
      <c r="E93" s="3" t="s">
        <v>254</v>
      </c>
      <c r="F93" s="3" t="s">
        <v>265</v>
      </c>
      <c r="G93" s="3">
        <v>2</v>
      </c>
      <c r="H93" s="3">
        <v>20104</v>
      </c>
      <c r="I93" s="9">
        <v>0.05</v>
      </c>
      <c r="J93" s="3" t="s">
        <v>274</v>
      </c>
      <c r="K93" s="3" t="s">
        <v>275</v>
      </c>
      <c r="L93" s="3">
        <f t="shared" si="2"/>
        <v>40208</v>
      </c>
      <c r="M93">
        <f t="shared" si="3"/>
        <v>1005.2</v>
      </c>
    </row>
    <row r="94" spans="1:13" x14ac:dyDescent="0.3">
      <c r="A94" s="3" t="s">
        <v>103</v>
      </c>
      <c r="B94" s="3" t="s">
        <v>147</v>
      </c>
      <c r="C94" s="3" t="s">
        <v>230</v>
      </c>
      <c r="D94" s="3" t="s">
        <v>250</v>
      </c>
      <c r="E94" s="3" t="s">
        <v>255</v>
      </c>
      <c r="F94" s="3" t="s">
        <v>259</v>
      </c>
      <c r="G94" s="3">
        <v>6</v>
      </c>
      <c r="H94" s="3">
        <v>25959</v>
      </c>
      <c r="I94" s="9">
        <v>7.0000000000000007E-2</v>
      </c>
      <c r="J94" s="3" t="s">
        <v>273</v>
      </c>
      <c r="K94" s="3" t="s">
        <v>277</v>
      </c>
      <c r="L94" s="3">
        <f t="shared" si="2"/>
        <v>155754</v>
      </c>
      <c r="M94">
        <f t="shared" si="3"/>
        <v>1817.13</v>
      </c>
    </row>
    <row r="95" spans="1:13" x14ac:dyDescent="0.3">
      <c r="A95" s="3" t="s">
        <v>104</v>
      </c>
      <c r="B95" s="3" t="s">
        <v>162</v>
      </c>
      <c r="C95" s="3" t="s">
        <v>243</v>
      </c>
      <c r="D95" s="3" t="s">
        <v>249</v>
      </c>
      <c r="E95" s="3" t="s">
        <v>254</v>
      </c>
      <c r="F95" s="3" t="s">
        <v>262</v>
      </c>
      <c r="G95" s="3">
        <v>1</v>
      </c>
      <c r="H95" s="3">
        <v>59549</v>
      </c>
      <c r="I95" s="9">
        <v>0.08</v>
      </c>
      <c r="J95" s="3" t="s">
        <v>273</v>
      </c>
      <c r="K95" s="3" t="s">
        <v>277</v>
      </c>
      <c r="L95" s="3">
        <f t="shared" si="2"/>
        <v>59549</v>
      </c>
      <c r="M95">
        <f t="shared" si="3"/>
        <v>4763.92</v>
      </c>
    </row>
    <row r="96" spans="1:13" x14ac:dyDescent="0.3">
      <c r="A96" s="3" t="s">
        <v>105</v>
      </c>
      <c r="B96" s="3" t="s">
        <v>163</v>
      </c>
      <c r="C96" s="3" t="s">
        <v>244</v>
      </c>
      <c r="D96" s="3" t="s">
        <v>250</v>
      </c>
      <c r="E96" s="3" t="s">
        <v>253</v>
      </c>
      <c r="F96" s="3" t="s">
        <v>268</v>
      </c>
      <c r="G96" s="3">
        <v>5</v>
      </c>
      <c r="H96" s="3">
        <v>25710</v>
      </c>
      <c r="I96" s="9">
        <v>0.1</v>
      </c>
      <c r="J96" s="3" t="s">
        <v>272</v>
      </c>
      <c r="K96" s="3" t="s">
        <v>276</v>
      </c>
      <c r="L96" s="3">
        <f t="shared" si="2"/>
        <v>128550</v>
      </c>
      <c r="M96">
        <f t="shared" si="3"/>
        <v>2571</v>
      </c>
    </row>
    <row r="97" spans="1:13" x14ac:dyDescent="0.3">
      <c r="A97" s="3" t="s">
        <v>106</v>
      </c>
      <c r="B97" s="3" t="s">
        <v>118</v>
      </c>
      <c r="C97" s="3" t="s">
        <v>178</v>
      </c>
      <c r="D97" s="3" t="s">
        <v>249</v>
      </c>
      <c r="E97" s="3" t="s">
        <v>255</v>
      </c>
      <c r="F97" s="3" t="s">
        <v>269</v>
      </c>
      <c r="G97" s="3">
        <v>4</v>
      </c>
      <c r="H97" s="3">
        <v>6152</v>
      </c>
      <c r="I97" s="9">
        <v>0.1</v>
      </c>
      <c r="J97" s="3" t="s">
        <v>272</v>
      </c>
      <c r="K97" s="3" t="s">
        <v>277</v>
      </c>
      <c r="L97" s="3">
        <f t="shared" si="2"/>
        <v>24608</v>
      </c>
      <c r="M97">
        <f t="shared" si="3"/>
        <v>615.20000000000005</v>
      </c>
    </row>
    <row r="98" spans="1:13" x14ac:dyDescent="0.3">
      <c r="A98" s="3" t="s">
        <v>107</v>
      </c>
      <c r="B98" s="3" t="s">
        <v>160</v>
      </c>
      <c r="C98" s="3" t="s">
        <v>245</v>
      </c>
      <c r="D98" s="3" t="s">
        <v>250</v>
      </c>
      <c r="E98" s="3" t="s">
        <v>254</v>
      </c>
      <c r="F98" s="3" t="s">
        <v>266</v>
      </c>
      <c r="G98" s="3">
        <v>6</v>
      </c>
      <c r="H98" s="3">
        <v>3216</v>
      </c>
      <c r="I98" s="9">
        <v>7.0000000000000007E-2</v>
      </c>
      <c r="J98" s="3" t="s">
        <v>274</v>
      </c>
      <c r="K98" s="3" t="s">
        <v>276</v>
      </c>
      <c r="L98" s="3">
        <f t="shared" si="2"/>
        <v>19296</v>
      </c>
      <c r="M98">
        <f t="shared" si="3"/>
        <v>225.12000000000003</v>
      </c>
    </row>
    <row r="99" spans="1:13" x14ac:dyDescent="0.3">
      <c r="A99" s="3" t="s">
        <v>108</v>
      </c>
      <c r="B99" s="3" t="s">
        <v>153</v>
      </c>
      <c r="C99" s="3" t="s">
        <v>246</v>
      </c>
      <c r="D99" s="3" t="s">
        <v>250</v>
      </c>
      <c r="E99" s="3" t="s">
        <v>254</v>
      </c>
      <c r="F99" s="3" t="s">
        <v>266</v>
      </c>
      <c r="G99" s="3">
        <v>5</v>
      </c>
      <c r="H99" s="3">
        <v>37077</v>
      </c>
      <c r="I99" s="9">
        <v>0.08</v>
      </c>
      <c r="J99" s="3" t="s">
        <v>271</v>
      </c>
      <c r="K99" s="3" t="s">
        <v>276</v>
      </c>
      <c r="L99" s="3">
        <f t="shared" si="2"/>
        <v>185385</v>
      </c>
      <c r="M99">
        <f t="shared" si="3"/>
        <v>2966.16</v>
      </c>
    </row>
    <row r="100" spans="1:13" x14ac:dyDescent="0.3">
      <c r="A100" s="3" t="s">
        <v>109</v>
      </c>
      <c r="B100" s="3" t="s">
        <v>151</v>
      </c>
      <c r="C100" s="3" t="s">
        <v>247</v>
      </c>
      <c r="D100" s="3" t="s">
        <v>250</v>
      </c>
      <c r="E100" s="3" t="s">
        <v>253</v>
      </c>
      <c r="F100" s="3" t="s">
        <v>260</v>
      </c>
      <c r="G100" s="3">
        <v>3</v>
      </c>
      <c r="H100" s="3">
        <v>17996</v>
      </c>
      <c r="I100" s="9">
        <v>0.05</v>
      </c>
      <c r="J100" s="3" t="s">
        <v>271</v>
      </c>
      <c r="K100" s="3" t="s">
        <v>275</v>
      </c>
      <c r="L100" s="3">
        <f t="shared" si="2"/>
        <v>53988</v>
      </c>
      <c r="M100">
        <f t="shared" si="3"/>
        <v>899.80000000000007</v>
      </c>
    </row>
    <row r="101" spans="1:13" x14ac:dyDescent="0.3">
      <c r="A101" s="3" t="s">
        <v>110</v>
      </c>
      <c r="B101" s="3" t="s">
        <v>139</v>
      </c>
      <c r="C101" s="3" t="s">
        <v>248</v>
      </c>
      <c r="D101" s="3" t="s">
        <v>250</v>
      </c>
      <c r="E101" s="3" t="s">
        <v>255</v>
      </c>
      <c r="F101" s="3" t="s">
        <v>269</v>
      </c>
      <c r="G101" s="3">
        <v>2</v>
      </c>
      <c r="H101" s="3">
        <v>21606</v>
      </c>
      <c r="I101" s="9">
        <v>7.0000000000000007E-2</v>
      </c>
      <c r="J101" s="3" t="s">
        <v>271</v>
      </c>
      <c r="K101" s="3" t="s">
        <v>275</v>
      </c>
      <c r="L101" s="3">
        <f t="shared" si="2"/>
        <v>43212</v>
      </c>
      <c r="M101">
        <f t="shared" si="3"/>
        <v>1512.42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Shaguftha Fathima</dc:creator>
  <cp:lastModifiedBy>lokesh gudimetla</cp:lastModifiedBy>
  <dcterms:created xsi:type="dcterms:W3CDTF">2025-11-01T18:07:25Z</dcterms:created>
  <dcterms:modified xsi:type="dcterms:W3CDTF">2025-12-03T08:27:03Z</dcterms:modified>
</cp:coreProperties>
</file>