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dell\Desktop\whitescholar\Excel Project\Excel Project WS\"/>
    </mc:Choice>
  </mc:AlternateContent>
  <xr:revisionPtr revIDLastSave="0" documentId="13_ncr:1_{6F1AA8D9-64E6-4476-A961-C928C793866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mployee_Attendanc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1" i="1" l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Z10" i="1"/>
  <c r="S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11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</calcChain>
</file>

<file path=xl/sharedStrings.xml><?xml version="1.0" encoding="utf-8"?>
<sst xmlns="http://schemas.openxmlformats.org/spreadsheetml/2006/main" count="272" uniqueCount="137">
  <si>
    <t>Emp ID</t>
  </si>
  <si>
    <t>Employee Name</t>
  </si>
  <si>
    <t>Department</t>
  </si>
  <si>
    <t>Join Date</t>
  </si>
  <si>
    <t>Last Working Date</t>
  </si>
  <si>
    <t>Leave Taken</t>
  </si>
  <si>
    <t>Attendance %</t>
  </si>
  <si>
    <t>Next Appraisal Date</t>
  </si>
  <si>
    <t>Shift Timing</t>
  </si>
  <si>
    <t>Work Location</t>
  </si>
  <si>
    <t>EMP001</t>
  </si>
  <si>
    <t>Michael Allen</t>
  </si>
  <si>
    <t>HR</t>
  </si>
  <si>
    <t>Night</t>
  </si>
  <si>
    <t>Delhi</t>
  </si>
  <si>
    <t>EMP002</t>
  </si>
  <si>
    <t>Kevin Rodriguez</t>
  </si>
  <si>
    <t>EMP003</t>
  </si>
  <si>
    <t>Michelle Smith</t>
  </si>
  <si>
    <t>Marketing</t>
  </si>
  <si>
    <t>Evening</t>
  </si>
  <si>
    <t>Bangalore</t>
  </si>
  <si>
    <t>EMP004</t>
  </si>
  <si>
    <t>Alex Porter</t>
  </si>
  <si>
    <t>IT</t>
  </si>
  <si>
    <t>Mumbai</t>
  </si>
  <si>
    <t>EMP005</t>
  </si>
  <si>
    <t>Anna Mayer</t>
  </si>
  <si>
    <t>Finance</t>
  </si>
  <si>
    <t>EMP006</t>
  </si>
  <si>
    <t>Brittany Jackson</t>
  </si>
  <si>
    <t>Pune</t>
  </si>
  <si>
    <t>EMP007</t>
  </si>
  <si>
    <t>Richard Chandler</t>
  </si>
  <si>
    <t>Hyderabad</t>
  </si>
  <si>
    <t>EMP008</t>
  </si>
  <si>
    <t>Michelle Roy</t>
  </si>
  <si>
    <t>Chennai</t>
  </si>
  <si>
    <t>EMP009</t>
  </si>
  <si>
    <t>Paul Curtis</t>
  </si>
  <si>
    <t>EMP010</t>
  </si>
  <si>
    <t>Amanda Bryant</t>
  </si>
  <si>
    <t>Operations</t>
  </si>
  <si>
    <t>EMP011</t>
  </si>
  <si>
    <t>Robert White</t>
  </si>
  <si>
    <t>EMP012</t>
  </si>
  <si>
    <t>Robert Jones</t>
  </si>
  <si>
    <t>EMP013</t>
  </si>
  <si>
    <t>Chad Johnson</t>
  </si>
  <si>
    <t>Sales</t>
  </si>
  <si>
    <t>Morning</t>
  </si>
  <si>
    <t>EMP014</t>
  </si>
  <si>
    <t>Stephanie Gordon</t>
  </si>
  <si>
    <t>EMP015</t>
  </si>
  <si>
    <t>Bonnie Simon DDS</t>
  </si>
  <si>
    <t>EMP016</t>
  </si>
  <si>
    <t>Jennifer Powell</t>
  </si>
  <si>
    <t>EMP017</t>
  </si>
  <si>
    <t>Kristen Dominguez</t>
  </si>
  <si>
    <t>EMP018</t>
  </si>
  <si>
    <t>Diane Davila</t>
  </si>
  <si>
    <t>EMP019</t>
  </si>
  <si>
    <t>David Green</t>
  </si>
  <si>
    <t>EMP020</t>
  </si>
  <si>
    <t>Christopher Mahoney</t>
  </si>
  <si>
    <t>EMP021</t>
  </si>
  <si>
    <t>Michael Briggs</t>
  </si>
  <si>
    <t>EMP022</t>
  </si>
  <si>
    <t>Sean Duke</t>
  </si>
  <si>
    <t>EMP023</t>
  </si>
  <si>
    <t>Laura Holland</t>
  </si>
  <si>
    <t>EMP024</t>
  </si>
  <si>
    <t>Christine Green</t>
  </si>
  <si>
    <t>EMP025</t>
  </si>
  <si>
    <t>John Alexander</t>
  </si>
  <si>
    <t>EMP026</t>
  </si>
  <si>
    <t>Catherine Dodson</t>
  </si>
  <si>
    <t>EMP027</t>
  </si>
  <si>
    <t>Christie Owens</t>
  </si>
  <si>
    <t>EMP028</t>
  </si>
  <si>
    <t>Ryan Clay</t>
  </si>
  <si>
    <t>EMP029</t>
  </si>
  <si>
    <t>Timothy Kennedy</t>
  </si>
  <si>
    <t>EMP030</t>
  </si>
  <si>
    <t>Sarah Robertson</t>
  </si>
  <si>
    <t>EMP031</t>
  </si>
  <si>
    <t>Jade Golden</t>
  </si>
  <si>
    <t>EMP032</t>
  </si>
  <si>
    <t>Ian Hanna</t>
  </si>
  <si>
    <t>EMP033</t>
  </si>
  <si>
    <t>Lisa Kline</t>
  </si>
  <si>
    <t>EMP034</t>
  </si>
  <si>
    <t>John Compton</t>
  </si>
  <si>
    <t>EMP035</t>
  </si>
  <si>
    <t>Cassandra Holmes</t>
  </si>
  <si>
    <t>EMP036</t>
  </si>
  <si>
    <t>Brian Bennett</t>
  </si>
  <si>
    <t>EMP037</t>
  </si>
  <si>
    <t>Hector Smith</t>
  </si>
  <si>
    <t>EMP038</t>
  </si>
  <si>
    <t>William Mcmahon</t>
  </si>
  <si>
    <t>EMP039</t>
  </si>
  <si>
    <t>Denise Leonard</t>
  </si>
  <si>
    <t>EMP040</t>
  </si>
  <si>
    <t>Kevin Campos</t>
  </si>
  <si>
    <t>EMP041</t>
  </si>
  <si>
    <t>Brenda Ferguson</t>
  </si>
  <si>
    <t>EMP042</t>
  </si>
  <si>
    <t>James Garrett</t>
  </si>
  <si>
    <t>EMP043</t>
  </si>
  <si>
    <t>Ernest Bauer</t>
  </si>
  <si>
    <t>EMP044</t>
  </si>
  <si>
    <t>Samantha Nelson</t>
  </si>
  <si>
    <t>EMP045</t>
  </si>
  <si>
    <t>Jonathan Gould</t>
  </si>
  <si>
    <t>EMP046</t>
  </si>
  <si>
    <t>Mrs. Danielle Strickland</t>
  </si>
  <si>
    <t>EMP047</t>
  </si>
  <si>
    <t>Maria Gibson</t>
  </si>
  <si>
    <t>EMP048</t>
  </si>
  <si>
    <t>Ana Cantrell</t>
  </si>
  <si>
    <t>EMP049</t>
  </si>
  <si>
    <t>Christina Crawford</t>
  </si>
  <si>
    <t>EMP050</t>
  </si>
  <si>
    <t>Michelle Mathis</t>
  </si>
  <si>
    <t>Identify employees who joined in the current month (Use MONTH + TODAY).</t>
  </si>
  <si>
    <t>Calculate number of employees per department who joined in 2023.</t>
  </si>
  <si>
    <t>Write 'Active' if Last Working Date is blank, else 'Resigned'.</t>
  </si>
  <si>
    <t>Find average tenure (in years) of all employees.</t>
  </si>
  <si>
    <t>Extract the month name from Last Working Date.</t>
  </si>
  <si>
    <t>Calculate remaining days until Next Appraisal Date.</t>
  </si>
  <si>
    <t>Last Month</t>
  </si>
  <si>
    <t>Joined month</t>
  </si>
  <si>
    <t>Date</t>
  </si>
  <si>
    <t>Status</t>
  </si>
  <si>
    <t>Average Tenure</t>
  </si>
  <si>
    <t>Joined before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</si>
</sst>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5" tint="-0.249977111117893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0" fillId="0" borderId="1" xfId="0" applyBorder="1"/>
    <xf numFmtId="164" fontId="0" fillId="0" borderId="1" xfId="0" applyNumberFormat="1" applyBorder="1"/>
    <xf numFmtId="0" fontId="1" fillId="2" borderId="1" xfId="0" applyFont="1" applyFill="1" applyBorder="1"/>
    <xf numFmtId="2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E2:Z60"/>
  <sheetViews>
    <sheetView tabSelected="1" topLeftCell="D1" zoomScale="69" workbookViewId="0">
      <selection activeCell="W20" sqref="W20"/>
    </sheetView>
  </sheetViews>
  <sheetFormatPr defaultRowHeight="14.4" x14ac:dyDescent="0.3"/>
  <cols>
    <col min="2" max="2" width="20.21875" bestFit="1" customWidth="1"/>
    <col min="3" max="3" width="10.77734375" bestFit="1" customWidth="1"/>
    <col min="4" max="4" width="10.33203125" bestFit="1" customWidth="1"/>
    <col min="5" max="5" width="16" bestFit="1" customWidth="1"/>
    <col min="6" max="6" width="20.21875" bestFit="1" customWidth="1"/>
    <col min="7" max="7" width="10.77734375" bestFit="1" customWidth="1"/>
    <col min="8" max="8" width="10.33203125" bestFit="1" customWidth="1"/>
    <col min="9" max="9" width="16" bestFit="1" customWidth="1"/>
    <col min="10" max="10" width="13.109375" bestFit="1" customWidth="1"/>
    <col min="12" max="12" width="17.33203125" bestFit="1" customWidth="1"/>
    <col min="13" max="13" width="10.44140625" bestFit="1" customWidth="1"/>
    <col min="14" max="14" width="13.109375" bestFit="1" customWidth="1"/>
    <col min="15" max="15" width="10.5546875" bestFit="1" customWidth="1"/>
    <col min="16" max="16" width="16.6640625" bestFit="1" customWidth="1"/>
    <col min="19" max="19" width="14.77734375" bestFit="1" customWidth="1"/>
    <col min="20" max="20" width="17.77734375" bestFit="1" customWidth="1"/>
  </cols>
  <sheetData>
    <row r="2" spans="5:26" x14ac:dyDescent="0.3">
      <c r="E2" s="1" t="s">
        <v>129</v>
      </c>
    </row>
    <row r="3" spans="5:26" x14ac:dyDescent="0.3">
      <c r="E3" s="1" t="s">
        <v>125</v>
      </c>
    </row>
    <row r="4" spans="5:26" x14ac:dyDescent="0.3">
      <c r="E4" s="1" t="s">
        <v>130</v>
      </c>
    </row>
    <row r="5" spans="5:26" x14ac:dyDescent="0.3">
      <c r="E5" s="1" t="s">
        <v>127</v>
      </c>
    </row>
    <row r="6" spans="5:26" x14ac:dyDescent="0.3">
      <c r="E6" s="1" t="s">
        <v>128</v>
      </c>
    </row>
    <row r="7" spans="5:26" x14ac:dyDescent="0.3">
      <c r="E7" s="1" t="s">
        <v>126</v>
      </c>
    </row>
    <row r="10" spans="5:26" x14ac:dyDescent="0.3">
      <c r="E10" s="4" t="s">
        <v>0</v>
      </c>
      <c r="F10" s="4" t="s">
        <v>1</v>
      </c>
      <c r="G10" s="4" t="s">
        <v>2</v>
      </c>
      <c r="H10" s="4" t="s">
        <v>3</v>
      </c>
      <c r="I10" s="4" t="s">
        <v>4</v>
      </c>
      <c r="J10" s="4" t="s">
        <v>5</v>
      </c>
      <c r="K10" s="4" t="s">
        <v>6</v>
      </c>
      <c r="L10" s="4" t="s">
        <v>7</v>
      </c>
      <c r="M10" s="4" t="s">
        <v>8</v>
      </c>
      <c r="N10" s="4" t="s">
        <v>9</v>
      </c>
      <c r="O10" s="4" t="s">
        <v>131</v>
      </c>
      <c r="P10" s="4" t="s">
        <v>132</v>
      </c>
      <c r="Q10" s="4" t="s">
        <v>133</v>
      </c>
      <c r="R10" s="4" t="s">
        <v>134</v>
      </c>
      <c r="S10" s="4" t="s">
        <v>135</v>
      </c>
      <c r="T10" s="4" t="s">
        <v>136</v>
      </c>
      <c r="Z10" t="str">
        <f>TEXT(I11,"mmmm")</f>
        <v>January</v>
      </c>
    </row>
    <row r="11" spans="5:26" x14ac:dyDescent="0.3">
      <c r="E11" s="2" t="s">
        <v>10</v>
      </c>
      <c r="F11" s="2" t="s">
        <v>11</v>
      </c>
      <c r="G11" s="2" t="s">
        <v>12</v>
      </c>
      <c r="H11" s="3">
        <v>44794</v>
      </c>
      <c r="I11" s="2"/>
      <c r="J11" s="2">
        <v>5</v>
      </c>
      <c r="K11" s="2">
        <v>92.01</v>
      </c>
      <c r="L11" s="3">
        <v>45989</v>
      </c>
      <c r="M11" s="2" t="s">
        <v>13</v>
      </c>
      <c r="N11" s="2" t="s">
        <v>14</v>
      </c>
      <c r="O11" s="2" t="str">
        <f>IF(TEXT(I11,"mmmm")="January"," ",Z10)</f>
        <v xml:space="preserve"> </v>
      </c>
      <c r="P11" s="2" t="str">
        <f ca="1">IF(MONTH(H11)=MONTH(TODAY()),"Joined This Month","Old")</f>
        <v>Old</v>
      </c>
      <c r="Q11" s="2">
        <f ca="1">MAX(0,L11-TODAY())</f>
        <v>0</v>
      </c>
      <c r="R11" s="2" t="str">
        <f>IF(ISBLANK(I11)=TRUE,"Active","Resigned")</f>
        <v>Active</v>
      </c>
      <c r="S11" s="5">
        <f ca="1">AVERAGE(YEARFRAC(H11,TODAY()))</f>
        <v>3.2833333333333332</v>
      </c>
      <c r="T11" s="2">
        <f>IF(YEAR(H11)=2023,1,0)</f>
        <v>0</v>
      </c>
      <c r="Z11" t="str">
        <f t="shared" ref="Z11:Z59" si="0">TEXT(I12,"mmmm")</f>
        <v>March</v>
      </c>
    </row>
    <row r="12" spans="5:26" x14ac:dyDescent="0.3">
      <c r="E12" s="2" t="s">
        <v>15</v>
      </c>
      <c r="F12" s="2" t="s">
        <v>16</v>
      </c>
      <c r="G12" s="2" t="s">
        <v>12</v>
      </c>
      <c r="H12" s="3">
        <v>44200</v>
      </c>
      <c r="I12" s="3">
        <v>45731</v>
      </c>
      <c r="J12" s="2">
        <v>13</v>
      </c>
      <c r="K12" s="2">
        <v>94.77</v>
      </c>
      <c r="L12" s="3">
        <v>46060</v>
      </c>
      <c r="M12" s="2" t="s">
        <v>13</v>
      </c>
      <c r="N12" s="2" t="s">
        <v>14</v>
      </c>
      <c r="O12" s="2" t="str">
        <f t="shared" ref="O12:O60" si="1">IF(TEXT(I12,"mmmm")="January"," ",Z11)</f>
        <v>March</v>
      </c>
      <c r="P12" s="2" t="str">
        <f t="shared" ref="P12:P60" ca="1" si="2">IF(MONTH(H12)=MONTH(TODAY()),"Joined This Month","Old")</f>
        <v>Old</v>
      </c>
      <c r="Q12" s="2">
        <f t="shared" ref="Q12:Q60" ca="1" si="3">MAX(0,L12-TODAY())</f>
        <v>66</v>
      </c>
      <c r="R12" s="2" t="str">
        <f t="shared" ref="R12:R60" si="4">IF(ISBLANK(I12)=TRUE,"Active","Resigned")</f>
        <v>Resigned</v>
      </c>
      <c r="S12" s="5">
        <f t="shared" ref="S12:S60" ca="1" si="5">AVERAGE(YEARFRAC(H12,TODAY()))</f>
        <v>4.9138888888888888</v>
      </c>
      <c r="T12" s="2">
        <f t="shared" ref="T12:T60" si="6">IF(YEAR(H12)=2023,1,0)</f>
        <v>0</v>
      </c>
      <c r="Z12" t="str">
        <f t="shared" si="0"/>
        <v>May</v>
      </c>
    </row>
    <row r="13" spans="5:26" x14ac:dyDescent="0.3">
      <c r="E13" s="2" t="s">
        <v>17</v>
      </c>
      <c r="F13" s="2" t="s">
        <v>18</v>
      </c>
      <c r="G13" s="2" t="s">
        <v>19</v>
      </c>
      <c r="H13" s="3">
        <v>43909</v>
      </c>
      <c r="I13" s="3">
        <v>44317</v>
      </c>
      <c r="J13" s="2">
        <v>2</v>
      </c>
      <c r="K13" s="2">
        <v>78.37</v>
      </c>
      <c r="L13" s="3">
        <v>45973</v>
      </c>
      <c r="M13" s="2" t="s">
        <v>20</v>
      </c>
      <c r="N13" s="2" t="s">
        <v>21</v>
      </c>
      <c r="O13" s="2" t="str">
        <f t="shared" si="1"/>
        <v>May</v>
      </c>
      <c r="P13" s="2" t="str">
        <f t="shared" ca="1" si="2"/>
        <v>Old</v>
      </c>
      <c r="Q13" s="2">
        <f t="shared" ca="1" si="3"/>
        <v>0</v>
      </c>
      <c r="R13" s="2" t="str">
        <f t="shared" si="4"/>
        <v>Resigned</v>
      </c>
      <c r="S13" s="5">
        <f t="shared" ca="1" si="5"/>
        <v>5.7055555555555557</v>
      </c>
      <c r="T13" s="2">
        <f t="shared" si="6"/>
        <v>0</v>
      </c>
      <c r="Z13" t="str">
        <f t="shared" si="0"/>
        <v>June</v>
      </c>
    </row>
    <row r="14" spans="5:26" x14ac:dyDescent="0.3">
      <c r="E14" s="2" t="s">
        <v>22</v>
      </c>
      <c r="F14" s="2" t="s">
        <v>23</v>
      </c>
      <c r="G14" s="2" t="s">
        <v>24</v>
      </c>
      <c r="H14" s="3">
        <v>43485</v>
      </c>
      <c r="I14" s="3">
        <v>43620</v>
      </c>
      <c r="J14" s="2">
        <v>19</v>
      </c>
      <c r="K14" s="2">
        <v>90.05</v>
      </c>
      <c r="L14" s="3">
        <v>46139</v>
      </c>
      <c r="M14" s="2" t="s">
        <v>20</v>
      </c>
      <c r="N14" s="2" t="s">
        <v>25</v>
      </c>
      <c r="O14" s="2" t="str">
        <f t="shared" si="1"/>
        <v>June</v>
      </c>
      <c r="P14" s="2" t="str">
        <f t="shared" ca="1" si="2"/>
        <v>Old</v>
      </c>
      <c r="Q14" s="2">
        <f t="shared" ca="1" si="3"/>
        <v>145</v>
      </c>
      <c r="R14" s="2" t="str">
        <f t="shared" si="4"/>
        <v>Resigned</v>
      </c>
      <c r="S14" s="5">
        <f t="shared" ca="1" si="5"/>
        <v>6.8694444444444445</v>
      </c>
      <c r="T14" s="2">
        <f t="shared" si="6"/>
        <v>0</v>
      </c>
      <c r="Z14" t="str">
        <f t="shared" si="0"/>
        <v>March</v>
      </c>
    </row>
    <row r="15" spans="5:26" x14ac:dyDescent="0.3">
      <c r="E15" s="2" t="s">
        <v>26</v>
      </c>
      <c r="F15" s="2" t="s">
        <v>27</v>
      </c>
      <c r="G15" s="2" t="s">
        <v>28</v>
      </c>
      <c r="H15" s="3">
        <v>44583</v>
      </c>
      <c r="I15" s="3">
        <v>44637</v>
      </c>
      <c r="J15" s="2">
        <v>5</v>
      </c>
      <c r="K15" s="2">
        <v>84.63</v>
      </c>
      <c r="L15" s="3">
        <v>45962</v>
      </c>
      <c r="M15" s="2" t="s">
        <v>20</v>
      </c>
      <c r="N15" s="2" t="s">
        <v>14</v>
      </c>
      <c r="O15" s="2" t="str">
        <f t="shared" si="1"/>
        <v>March</v>
      </c>
      <c r="P15" s="2" t="str">
        <f t="shared" ca="1" si="2"/>
        <v>Old</v>
      </c>
      <c r="Q15" s="2">
        <f t="shared" ca="1" si="3"/>
        <v>0</v>
      </c>
      <c r="R15" s="2" t="str">
        <f t="shared" si="4"/>
        <v>Resigned</v>
      </c>
      <c r="S15" s="5">
        <f t="shared" ca="1" si="5"/>
        <v>3.8638888888888889</v>
      </c>
      <c r="T15" s="2">
        <f t="shared" si="6"/>
        <v>0</v>
      </c>
      <c r="Z15" t="str">
        <f t="shared" si="0"/>
        <v>January</v>
      </c>
    </row>
    <row r="16" spans="5:26" x14ac:dyDescent="0.3">
      <c r="E16" s="2" t="s">
        <v>29</v>
      </c>
      <c r="F16" s="2" t="s">
        <v>30</v>
      </c>
      <c r="G16" s="2" t="s">
        <v>28</v>
      </c>
      <c r="H16" s="3">
        <v>42557</v>
      </c>
      <c r="I16" s="3">
        <v>43484</v>
      </c>
      <c r="J16" s="2">
        <v>19</v>
      </c>
      <c r="K16" s="2">
        <v>91.04</v>
      </c>
      <c r="L16" s="3">
        <v>46069</v>
      </c>
      <c r="M16" s="2" t="s">
        <v>20</v>
      </c>
      <c r="N16" s="2" t="s">
        <v>31</v>
      </c>
      <c r="O16" s="2" t="str">
        <f t="shared" si="1"/>
        <v xml:space="preserve"> </v>
      </c>
      <c r="P16" s="2" t="str">
        <f t="shared" ca="1" si="2"/>
        <v>Old</v>
      </c>
      <c r="Q16" s="2">
        <f t="shared" ca="1" si="3"/>
        <v>75</v>
      </c>
      <c r="R16" s="2" t="str">
        <f t="shared" si="4"/>
        <v>Resigned</v>
      </c>
      <c r="S16" s="5">
        <f t="shared" ca="1" si="5"/>
        <v>9.4083333333333332</v>
      </c>
      <c r="T16" s="2">
        <f t="shared" si="6"/>
        <v>0</v>
      </c>
      <c r="Z16" t="str">
        <f t="shared" si="0"/>
        <v>January</v>
      </c>
    </row>
    <row r="17" spans="5:26" x14ac:dyDescent="0.3">
      <c r="E17" s="2" t="s">
        <v>32</v>
      </c>
      <c r="F17" s="2" t="s">
        <v>33</v>
      </c>
      <c r="G17" s="2" t="s">
        <v>24</v>
      </c>
      <c r="H17" s="3">
        <v>42857</v>
      </c>
      <c r="I17" s="2"/>
      <c r="J17" s="2">
        <v>6</v>
      </c>
      <c r="K17" s="2">
        <v>72.569999999999993</v>
      </c>
      <c r="L17" s="3">
        <v>45977</v>
      </c>
      <c r="M17" s="2" t="s">
        <v>13</v>
      </c>
      <c r="N17" s="2" t="s">
        <v>34</v>
      </c>
      <c r="O17" s="2" t="str">
        <f t="shared" si="1"/>
        <v xml:space="preserve"> </v>
      </c>
      <c r="P17" s="2" t="str">
        <f t="shared" ca="1" si="2"/>
        <v>Old</v>
      </c>
      <c r="Q17" s="2">
        <f t="shared" ca="1" si="3"/>
        <v>0</v>
      </c>
      <c r="R17" s="2" t="str">
        <f t="shared" si="4"/>
        <v>Active</v>
      </c>
      <c r="S17" s="5">
        <f t="shared" ca="1" si="5"/>
        <v>8.5861111111111104</v>
      </c>
      <c r="T17" s="2">
        <f t="shared" si="6"/>
        <v>0</v>
      </c>
      <c r="Z17" t="str">
        <f t="shared" si="0"/>
        <v>July</v>
      </c>
    </row>
    <row r="18" spans="5:26" x14ac:dyDescent="0.3">
      <c r="E18" s="2" t="s">
        <v>35</v>
      </c>
      <c r="F18" s="2" t="s">
        <v>36</v>
      </c>
      <c r="G18" s="2" t="s">
        <v>24</v>
      </c>
      <c r="H18" s="3">
        <v>44771</v>
      </c>
      <c r="I18" s="3">
        <v>45504</v>
      </c>
      <c r="J18" s="2">
        <v>24</v>
      </c>
      <c r="K18" s="2">
        <v>77.209999999999994</v>
      </c>
      <c r="L18" s="3">
        <v>46049</v>
      </c>
      <c r="M18" s="2" t="s">
        <v>20</v>
      </c>
      <c r="N18" s="2" t="s">
        <v>37</v>
      </c>
      <c r="O18" s="2" t="str">
        <f t="shared" si="1"/>
        <v>July</v>
      </c>
      <c r="P18" s="2" t="str">
        <f t="shared" ca="1" si="2"/>
        <v>Old</v>
      </c>
      <c r="Q18" s="2">
        <f t="shared" ca="1" si="3"/>
        <v>55</v>
      </c>
      <c r="R18" s="2" t="str">
        <f t="shared" si="4"/>
        <v>Resigned</v>
      </c>
      <c r="S18" s="5">
        <f t="shared" ca="1" si="5"/>
        <v>3.3444444444444446</v>
      </c>
      <c r="T18" s="2">
        <f t="shared" si="6"/>
        <v>0</v>
      </c>
      <c r="Z18" t="str">
        <f t="shared" si="0"/>
        <v>March</v>
      </c>
    </row>
    <row r="19" spans="5:26" x14ac:dyDescent="0.3">
      <c r="E19" s="2" t="s">
        <v>38</v>
      </c>
      <c r="F19" s="2" t="s">
        <v>39</v>
      </c>
      <c r="G19" s="2" t="s">
        <v>12</v>
      </c>
      <c r="H19" s="3">
        <v>43052</v>
      </c>
      <c r="I19" s="3">
        <v>44267</v>
      </c>
      <c r="J19" s="2">
        <v>25</v>
      </c>
      <c r="K19" s="2">
        <v>70.52</v>
      </c>
      <c r="L19" s="3">
        <v>46143</v>
      </c>
      <c r="M19" s="2" t="s">
        <v>20</v>
      </c>
      <c r="N19" s="2" t="s">
        <v>21</v>
      </c>
      <c r="O19" s="2" t="str">
        <f t="shared" si="1"/>
        <v>March</v>
      </c>
      <c r="P19" s="2" t="str">
        <f t="shared" ca="1" si="2"/>
        <v>Old</v>
      </c>
      <c r="Q19" s="2">
        <f t="shared" ca="1" si="3"/>
        <v>149</v>
      </c>
      <c r="R19" s="2" t="str">
        <f t="shared" si="4"/>
        <v>Resigned</v>
      </c>
      <c r="S19" s="5">
        <f t="shared" ca="1" si="5"/>
        <v>8.0555555555555554</v>
      </c>
      <c r="T19" s="2">
        <f t="shared" si="6"/>
        <v>0</v>
      </c>
      <c r="Z19" t="str">
        <f t="shared" si="0"/>
        <v>October</v>
      </c>
    </row>
    <row r="20" spans="5:26" x14ac:dyDescent="0.3">
      <c r="E20" s="2" t="s">
        <v>40</v>
      </c>
      <c r="F20" s="2" t="s">
        <v>41</v>
      </c>
      <c r="G20" s="2" t="s">
        <v>42</v>
      </c>
      <c r="H20" s="3">
        <v>43172</v>
      </c>
      <c r="I20" s="3">
        <v>44842</v>
      </c>
      <c r="J20" s="2">
        <v>7</v>
      </c>
      <c r="K20" s="2">
        <v>79.19</v>
      </c>
      <c r="L20" s="3">
        <v>46096</v>
      </c>
      <c r="M20" s="2" t="s">
        <v>13</v>
      </c>
      <c r="N20" s="2" t="s">
        <v>14</v>
      </c>
      <c r="O20" s="2" t="str">
        <f t="shared" si="1"/>
        <v>October</v>
      </c>
      <c r="P20" s="2" t="str">
        <f t="shared" ca="1" si="2"/>
        <v>Old</v>
      </c>
      <c r="Q20" s="2">
        <f t="shared" ca="1" si="3"/>
        <v>102</v>
      </c>
      <c r="R20" s="2" t="str">
        <f t="shared" si="4"/>
        <v>Resigned</v>
      </c>
      <c r="S20" s="5">
        <f t="shared" ca="1" si="5"/>
        <v>7.7222222222222223</v>
      </c>
      <c r="T20" s="2">
        <f t="shared" si="6"/>
        <v>0</v>
      </c>
      <c r="Z20" t="str">
        <f t="shared" si="0"/>
        <v>June</v>
      </c>
    </row>
    <row r="21" spans="5:26" x14ac:dyDescent="0.3">
      <c r="E21" s="2" t="s">
        <v>43</v>
      </c>
      <c r="F21" s="2" t="s">
        <v>44</v>
      </c>
      <c r="G21" s="2" t="s">
        <v>24</v>
      </c>
      <c r="H21" s="3">
        <v>43668</v>
      </c>
      <c r="I21" s="3">
        <v>45809</v>
      </c>
      <c r="J21" s="2">
        <v>16</v>
      </c>
      <c r="K21" s="2">
        <v>80.31</v>
      </c>
      <c r="L21" s="3">
        <v>45974</v>
      </c>
      <c r="M21" s="2" t="s">
        <v>13</v>
      </c>
      <c r="N21" s="2" t="s">
        <v>31</v>
      </c>
      <c r="O21" s="2" t="str">
        <f t="shared" si="1"/>
        <v>June</v>
      </c>
      <c r="P21" s="2" t="str">
        <f t="shared" ca="1" si="2"/>
        <v>Old</v>
      </c>
      <c r="Q21" s="2">
        <f t="shared" ca="1" si="3"/>
        <v>0</v>
      </c>
      <c r="R21" s="2" t="str">
        <f t="shared" si="4"/>
        <v>Resigned</v>
      </c>
      <c r="S21" s="5">
        <f t="shared" ca="1" si="5"/>
        <v>6.3638888888888889</v>
      </c>
      <c r="T21" s="2">
        <f t="shared" si="6"/>
        <v>0</v>
      </c>
      <c r="Z21" t="str">
        <f t="shared" si="0"/>
        <v>December</v>
      </c>
    </row>
    <row r="22" spans="5:26" x14ac:dyDescent="0.3">
      <c r="E22" s="2" t="s">
        <v>45</v>
      </c>
      <c r="F22" s="2" t="s">
        <v>46</v>
      </c>
      <c r="G22" s="2" t="s">
        <v>28</v>
      </c>
      <c r="H22" s="3">
        <v>44381</v>
      </c>
      <c r="I22" s="3">
        <v>45628</v>
      </c>
      <c r="J22" s="2">
        <v>22</v>
      </c>
      <c r="K22" s="2">
        <v>83.61</v>
      </c>
      <c r="L22" s="3">
        <v>45966</v>
      </c>
      <c r="M22" s="2" t="s">
        <v>20</v>
      </c>
      <c r="N22" s="2" t="s">
        <v>14</v>
      </c>
      <c r="O22" s="2" t="str">
        <f t="shared" si="1"/>
        <v>December</v>
      </c>
      <c r="P22" s="2" t="str">
        <f t="shared" ca="1" si="2"/>
        <v>Old</v>
      </c>
      <c r="Q22" s="2">
        <f t="shared" ca="1" si="3"/>
        <v>0</v>
      </c>
      <c r="R22" s="2" t="str">
        <f t="shared" si="4"/>
        <v>Resigned</v>
      </c>
      <c r="S22" s="5">
        <f t="shared" ca="1" si="5"/>
        <v>4.4138888888888888</v>
      </c>
      <c r="T22" s="2">
        <f t="shared" si="6"/>
        <v>0</v>
      </c>
      <c r="Z22" t="str">
        <f t="shared" si="0"/>
        <v>January</v>
      </c>
    </row>
    <row r="23" spans="5:26" x14ac:dyDescent="0.3">
      <c r="E23" s="2" t="s">
        <v>47</v>
      </c>
      <c r="F23" s="2" t="s">
        <v>48</v>
      </c>
      <c r="G23" s="2" t="s">
        <v>49</v>
      </c>
      <c r="H23" s="3">
        <v>44875</v>
      </c>
      <c r="I23" s="2"/>
      <c r="J23" s="2">
        <v>23</v>
      </c>
      <c r="K23" s="2">
        <v>75.78</v>
      </c>
      <c r="L23" s="3">
        <v>46036</v>
      </c>
      <c r="M23" s="2" t="s">
        <v>50</v>
      </c>
      <c r="N23" s="2" t="s">
        <v>37</v>
      </c>
      <c r="O23" s="2" t="str">
        <f t="shared" si="1"/>
        <v xml:space="preserve"> </v>
      </c>
      <c r="P23" s="2" t="str">
        <f t="shared" ca="1" si="2"/>
        <v>Old</v>
      </c>
      <c r="Q23" s="2">
        <f t="shared" ca="1" si="3"/>
        <v>42</v>
      </c>
      <c r="R23" s="2" t="str">
        <f t="shared" si="4"/>
        <v>Active</v>
      </c>
      <c r="S23" s="5">
        <f t="shared" ca="1" si="5"/>
        <v>3.0638888888888891</v>
      </c>
      <c r="T23" s="2">
        <f t="shared" si="6"/>
        <v>0</v>
      </c>
      <c r="Z23" t="str">
        <f t="shared" si="0"/>
        <v>January</v>
      </c>
    </row>
    <row r="24" spans="5:26" x14ac:dyDescent="0.3">
      <c r="E24" s="2" t="s">
        <v>51</v>
      </c>
      <c r="F24" s="2" t="s">
        <v>52</v>
      </c>
      <c r="G24" s="2" t="s">
        <v>19</v>
      </c>
      <c r="H24" s="3">
        <v>42884</v>
      </c>
      <c r="I24" s="2"/>
      <c r="J24" s="2">
        <v>6</v>
      </c>
      <c r="K24" s="2">
        <v>92.16</v>
      </c>
      <c r="L24" s="3">
        <v>46121</v>
      </c>
      <c r="M24" s="2" t="s">
        <v>20</v>
      </c>
      <c r="N24" s="2" t="s">
        <v>37</v>
      </c>
      <c r="O24" s="2" t="str">
        <f t="shared" si="1"/>
        <v xml:space="preserve"> </v>
      </c>
      <c r="P24" s="2" t="str">
        <f t="shared" ca="1" si="2"/>
        <v>Old</v>
      </c>
      <c r="Q24" s="2">
        <f t="shared" ca="1" si="3"/>
        <v>127</v>
      </c>
      <c r="R24" s="2" t="str">
        <f t="shared" si="4"/>
        <v>Active</v>
      </c>
      <c r="S24" s="5">
        <f t="shared" ca="1" si="5"/>
        <v>8.5111111111111111</v>
      </c>
      <c r="T24" s="2">
        <f t="shared" si="6"/>
        <v>0</v>
      </c>
      <c r="Z24" t="str">
        <f t="shared" si="0"/>
        <v>January</v>
      </c>
    </row>
    <row r="25" spans="5:26" x14ac:dyDescent="0.3">
      <c r="E25" s="2" t="s">
        <v>53</v>
      </c>
      <c r="F25" s="2" t="s">
        <v>54</v>
      </c>
      <c r="G25" s="2" t="s">
        <v>49</v>
      </c>
      <c r="H25" s="3">
        <v>43214</v>
      </c>
      <c r="I25" s="3">
        <v>44223</v>
      </c>
      <c r="J25" s="2">
        <v>6</v>
      </c>
      <c r="K25" s="2">
        <v>78.89</v>
      </c>
      <c r="L25" s="3">
        <v>45971</v>
      </c>
      <c r="M25" s="2" t="s">
        <v>20</v>
      </c>
      <c r="N25" s="2" t="s">
        <v>21</v>
      </c>
      <c r="O25" s="2" t="str">
        <f t="shared" si="1"/>
        <v xml:space="preserve"> </v>
      </c>
      <c r="P25" s="2" t="str">
        <f t="shared" ca="1" si="2"/>
        <v>Old</v>
      </c>
      <c r="Q25" s="2">
        <f t="shared" ca="1" si="3"/>
        <v>0</v>
      </c>
      <c r="R25" s="2" t="str">
        <f t="shared" si="4"/>
        <v>Resigned</v>
      </c>
      <c r="S25" s="5">
        <f t="shared" ca="1" si="5"/>
        <v>7.6083333333333334</v>
      </c>
      <c r="T25" s="2">
        <f t="shared" si="6"/>
        <v>0</v>
      </c>
      <c r="Z25" t="str">
        <f t="shared" si="0"/>
        <v>October</v>
      </c>
    </row>
    <row r="26" spans="5:26" x14ac:dyDescent="0.3">
      <c r="E26" s="2" t="s">
        <v>55</v>
      </c>
      <c r="F26" s="2" t="s">
        <v>56</v>
      </c>
      <c r="G26" s="2" t="s">
        <v>49</v>
      </c>
      <c r="H26" s="3">
        <v>43358</v>
      </c>
      <c r="I26" s="3">
        <v>44127</v>
      </c>
      <c r="J26" s="2">
        <v>22</v>
      </c>
      <c r="K26" s="2">
        <v>86.02</v>
      </c>
      <c r="L26" s="3">
        <v>46044</v>
      </c>
      <c r="M26" s="2" t="s">
        <v>20</v>
      </c>
      <c r="N26" s="2" t="s">
        <v>25</v>
      </c>
      <c r="O26" s="2" t="str">
        <f t="shared" si="1"/>
        <v>October</v>
      </c>
      <c r="P26" s="2" t="str">
        <f t="shared" ca="1" si="2"/>
        <v>Old</v>
      </c>
      <c r="Q26" s="2">
        <f t="shared" ca="1" si="3"/>
        <v>50</v>
      </c>
      <c r="R26" s="2" t="str">
        <f t="shared" si="4"/>
        <v>Resigned</v>
      </c>
      <c r="S26" s="5">
        <f t="shared" ca="1" si="5"/>
        <v>7.2166666666666668</v>
      </c>
      <c r="T26" s="2">
        <f t="shared" si="6"/>
        <v>0</v>
      </c>
      <c r="Z26" t="str">
        <f t="shared" si="0"/>
        <v>January</v>
      </c>
    </row>
    <row r="27" spans="5:26" x14ac:dyDescent="0.3">
      <c r="E27" s="2" t="s">
        <v>57</v>
      </c>
      <c r="F27" s="2" t="s">
        <v>58</v>
      </c>
      <c r="G27" s="2" t="s">
        <v>24</v>
      </c>
      <c r="H27" s="3">
        <v>44144</v>
      </c>
      <c r="I27" s="2"/>
      <c r="J27" s="2">
        <v>9</v>
      </c>
      <c r="K27" s="2">
        <v>90.92</v>
      </c>
      <c r="L27" s="3">
        <v>46073</v>
      </c>
      <c r="M27" s="2" t="s">
        <v>50</v>
      </c>
      <c r="N27" s="2" t="s">
        <v>37</v>
      </c>
      <c r="O27" s="2" t="str">
        <f t="shared" si="1"/>
        <v xml:space="preserve"> </v>
      </c>
      <c r="P27" s="2" t="str">
        <f t="shared" ca="1" si="2"/>
        <v>Old</v>
      </c>
      <c r="Q27" s="2">
        <f t="shared" ca="1" si="3"/>
        <v>79</v>
      </c>
      <c r="R27" s="2" t="str">
        <f t="shared" si="4"/>
        <v>Active</v>
      </c>
      <c r="S27" s="5">
        <f t="shared" ca="1" si="5"/>
        <v>5.0666666666666664</v>
      </c>
      <c r="T27" s="2">
        <f t="shared" si="6"/>
        <v>0</v>
      </c>
      <c r="Z27" t="str">
        <f t="shared" si="0"/>
        <v>November</v>
      </c>
    </row>
    <row r="28" spans="5:26" x14ac:dyDescent="0.3">
      <c r="E28" s="2" t="s">
        <v>59</v>
      </c>
      <c r="F28" s="2" t="s">
        <v>60</v>
      </c>
      <c r="G28" s="2" t="s">
        <v>49</v>
      </c>
      <c r="H28" s="3">
        <v>42665</v>
      </c>
      <c r="I28" s="3">
        <v>44866</v>
      </c>
      <c r="J28" s="2">
        <v>0</v>
      </c>
      <c r="K28" s="2">
        <v>87.22</v>
      </c>
      <c r="L28" s="3">
        <v>46090</v>
      </c>
      <c r="M28" s="2" t="s">
        <v>20</v>
      </c>
      <c r="N28" s="2" t="s">
        <v>34</v>
      </c>
      <c r="O28" s="2" t="str">
        <f t="shared" si="1"/>
        <v>November</v>
      </c>
      <c r="P28" s="2" t="str">
        <f t="shared" ca="1" si="2"/>
        <v>Old</v>
      </c>
      <c r="Q28" s="2">
        <f t="shared" ca="1" si="3"/>
        <v>96</v>
      </c>
      <c r="R28" s="2" t="str">
        <f t="shared" si="4"/>
        <v>Resigned</v>
      </c>
      <c r="S28" s="5">
        <f t="shared" ca="1" si="5"/>
        <v>9.1138888888888889</v>
      </c>
      <c r="T28" s="2">
        <f t="shared" si="6"/>
        <v>0</v>
      </c>
      <c r="Z28" t="str">
        <f t="shared" si="0"/>
        <v>August</v>
      </c>
    </row>
    <row r="29" spans="5:26" x14ac:dyDescent="0.3">
      <c r="E29" s="2" t="s">
        <v>61</v>
      </c>
      <c r="F29" s="2" t="s">
        <v>62</v>
      </c>
      <c r="G29" s="2" t="s">
        <v>28</v>
      </c>
      <c r="H29" s="3">
        <v>42420</v>
      </c>
      <c r="I29" s="3">
        <v>42971</v>
      </c>
      <c r="J29" s="2">
        <v>5</v>
      </c>
      <c r="K29" s="2">
        <v>98.96</v>
      </c>
      <c r="L29" s="3">
        <v>46043</v>
      </c>
      <c r="M29" s="2" t="s">
        <v>20</v>
      </c>
      <c r="N29" s="2" t="s">
        <v>34</v>
      </c>
      <c r="O29" s="2" t="str">
        <f t="shared" si="1"/>
        <v>August</v>
      </c>
      <c r="P29" s="2" t="str">
        <f t="shared" ca="1" si="2"/>
        <v>Old</v>
      </c>
      <c r="Q29" s="2">
        <f t="shared" ca="1" si="3"/>
        <v>49</v>
      </c>
      <c r="R29" s="2" t="str">
        <f t="shared" si="4"/>
        <v>Resigned</v>
      </c>
      <c r="S29" s="5">
        <f t="shared" ca="1" si="5"/>
        <v>9.7861111111111114</v>
      </c>
      <c r="T29" s="2">
        <f t="shared" si="6"/>
        <v>0</v>
      </c>
      <c r="Z29" t="str">
        <f t="shared" si="0"/>
        <v>January</v>
      </c>
    </row>
    <row r="30" spans="5:26" x14ac:dyDescent="0.3">
      <c r="E30" s="2" t="s">
        <v>63</v>
      </c>
      <c r="F30" s="2" t="s">
        <v>64</v>
      </c>
      <c r="G30" s="2" t="s">
        <v>49</v>
      </c>
      <c r="H30" s="3">
        <v>43588</v>
      </c>
      <c r="I30" s="2"/>
      <c r="J30" s="2">
        <v>12</v>
      </c>
      <c r="K30" s="2">
        <v>84.75</v>
      </c>
      <c r="L30" s="3">
        <v>46086</v>
      </c>
      <c r="M30" s="2" t="s">
        <v>13</v>
      </c>
      <c r="N30" s="2" t="s">
        <v>37</v>
      </c>
      <c r="O30" s="2" t="str">
        <f t="shared" si="1"/>
        <v xml:space="preserve"> </v>
      </c>
      <c r="P30" s="2" t="str">
        <f t="shared" ca="1" si="2"/>
        <v>Old</v>
      </c>
      <c r="Q30" s="2">
        <f t="shared" ca="1" si="3"/>
        <v>92</v>
      </c>
      <c r="R30" s="2" t="str">
        <f t="shared" si="4"/>
        <v>Active</v>
      </c>
      <c r="S30" s="5">
        <f t="shared" ca="1" si="5"/>
        <v>6.583333333333333</v>
      </c>
      <c r="T30" s="2">
        <f t="shared" si="6"/>
        <v>0</v>
      </c>
      <c r="Z30" t="str">
        <f t="shared" si="0"/>
        <v>January</v>
      </c>
    </row>
    <row r="31" spans="5:26" x14ac:dyDescent="0.3">
      <c r="E31" s="2" t="s">
        <v>65</v>
      </c>
      <c r="F31" s="2" t="s">
        <v>66</v>
      </c>
      <c r="G31" s="2" t="s">
        <v>19</v>
      </c>
      <c r="H31" s="3">
        <v>43741</v>
      </c>
      <c r="I31" s="2"/>
      <c r="J31" s="2">
        <v>4</v>
      </c>
      <c r="K31" s="2">
        <v>94.33</v>
      </c>
      <c r="L31" s="3">
        <v>46070</v>
      </c>
      <c r="M31" s="2" t="s">
        <v>20</v>
      </c>
      <c r="N31" s="2" t="s">
        <v>25</v>
      </c>
      <c r="O31" s="2" t="str">
        <f t="shared" si="1"/>
        <v xml:space="preserve"> </v>
      </c>
      <c r="P31" s="2" t="str">
        <f t="shared" ca="1" si="2"/>
        <v>Old</v>
      </c>
      <c r="Q31" s="2">
        <f t="shared" ca="1" si="3"/>
        <v>76</v>
      </c>
      <c r="R31" s="2" t="str">
        <f t="shared" si="4"/>
        <v>Active</v>
      </c>
      <c r="S31" s="5">
        <f t="shared" ca="1" si="5"/>
        <v>6.166666666666667</v>
      </c>
      <c r="T31" s="2">
        <f t="shared" si="6"/>
        <v>0</v>
      </c>
      <c r="Z31" t="str">
        <f t="shared" si="0"/>
        <v>January</v>
      </c>
    </row>
    <row r="32" spans="5:26" x14ac:dyDescent="0.3">
      <c r="E32" s="2" t="s">
        <v>67</v>
      </c>
      <c r="F32" s="2" t="s">
        <v>68</v>
      </c>
      <c r="G32" s="2" t="s">
        <v>49</v>
      </c>
      <c r="H32" s="3">
        <v>45008</v>
      </c>
      <c r="I32" s="2"/>
      <c r="J32" s="2">
        <v>17</v>
      </c>
      <c r="K32" s="2">
        <v>92.93</v>
      </c>
      <c r="L32" s="3">
        <v>46074</v>
      </c>
      <c r="M32" s="2" t="s">
        <v>13</v>
      </c>
      <c r="N32" s="2" t="s">
        <v>31</v>
      </c>
      <c r="O32" s="2" t="str">
        <f t="shared" si="1"/>
        <v xml:space="preserve"> </v>
      </c>
      <c r="P32" s="2" t="str">
        <f t="shared" ca="1" si="2"/>
        <v>Old</v>
      </c>
      <c r="Q32" s="2">
        <f t="shared" ca="1" si="3"/>
        <v>80</v>
      </c>
      <c r="R32" s="2" t="str">
        <f t="shared" si="4"/>
        <v>Active</v>
      </c>
      <c r="S32" s="5">
        <f t="shared" ca="1" si="5"/>
        <v>2.6944444444444446</v>
      </c>
      <c r="T32" s="2">
        <f t="shared" si="6"/>
        <v>1</v>
      </c>
      <c r="Z32" t="str">
        <f t="shared" si="0"/>
        <v>January</v>
      </c>
    </row>
    <row r="33" spans="5:26" x14ac:dyDescent="0.3">
      <c r="E33" s="2" t="s">
        <v>69</v>
      </c>
      <c r="F33" s="2" t="s">
        <v>70</v>
      </c>
      <c r="G33" s="2" t="s">
        <v>24</v>
      </c>
      <c r="H33" s="3">
        <v>43679</v>
      </c>
      <c r="I33" s="2"/>
      <c r="J33" s="2">
        <v>12</v>
      </c>
      <c r="K33" s="2">
        <v>83.52</v>
      </c>
      <c r="L33" s="3">
        <v>46034</v>
      </c>
      <c r="M33" s="2" t="s">
        <v>20</v>
      </c>
      <c r="N33" s="2" t="s">
        <v>14</v>
      </c>
      <c r="O33" s="2" t="str">
        <f t="shared" si="1"/>
        <v xml:space="preserve"> </v>
      </c>
      <c r="P33" s="2" t="str">
        <f t="shared" ca="1" si="2"/>
        <v>Old</v>
      </c>
      <c r="Q33" s="2">
        <f t="shared" ca="1" si="3"/>
        <v>40</v>
      </c>
      <c r="R33" s="2" t="str">
        <f t="shared" si="4"/>
        <v>Active</v>
      </c>
      <c r="S33" s="5">
        <f t="shared" ca="1" si="5"/>
        <v>6.3361111111111112</v>
      </c>
      <c r="T33" s="2">
        <f t="shared" si="6"/>
        <v>0</v>
      </c>
      <c r="Z33" t="str">
        <f t="shared" si="0"/>
        <v>June</v>
      </c>
    </row>
    <row r="34" spans="5:26" x14ac:dyDescent="0.3">
      <c r="E34" s="2" t="s">
        <v>71</v>
      </c>
      <c r="F34" s="2" t="s">
        <v>72</v>
      </c>
      <c r="G34" s="2" t="s">
        <v>28</v>
      </c>
      <c r="H34" s="3">
        <v>43984</v>
      </c>
      <c r="I34" s="3">
        <v>44732</v>
      </c>
      <c r="J34" s="2">
        <v>18</v>
      </c>
      <c r="K34" s="2">
        <v>88.63</v>
      </c>
      <c r="L34" s="3">
        <v>46054</v>
      </c>
      <c r="M34" s="2" t="s">
        <v>13</v>
      </c>
      <c r="N34" s="2" t="s">
        <v>37</v>
      </c>
      <c r="O34" s="2" t="str">
        <f t="shared" si="1"/>
        <v>June</v>
      </c>
      <c r="P34" s="2" t="str">
        <f t="shared" ca="1" si="2"/>
        <v>Old</v>
      </c>
      <c r="Q34" s="2">
        <f t="shared" ca="1" si="3"/>
        <v>60</v>
      </c>
      <c r="R34" s="2" t="str">
        <f t="shared" si="4"/>
        <v>Resigned</v>
      </c>
      <c r="S34" s="5">
        <f t="shared" ca="1" si="5"/>
        <v>5.5027777777777782</v>
      </c>
      <c r="T34" s="2">
        <f t="shared" si="6"/>
        <v>0</v>
      </c>
      <c r="Z34" t="str">
        <f t="shared" si="0"/>
        <v>January</v>
      </c>
    </row>
    <row r="35" spans="5:26" x14ac:dyDescent="0.3">
      <c r="E35" s="2" t="s">
        <v>73</v>
      </c>
      <c r="F35" s="2" t="s">
        <v>74</v>
      </c>
      <c r="G35" s="2" t="s">
        <v>19</v>
      </c>
      <c r="H35" s="3">
        <v>44403</v>
      </c>
      <c r="I35" s="2"/>
      <c r="J35" s="2">
        <v>20</v>
      </c>
      <c r="K35" s="2">
        <v>76.33</v>
      </c>
      <c r="L35" s="3">
        <v>46032</v>
      </c>
      <c r="M35" s="2" t="s">
        <v>13</v>
      </c>
      <c r="N35" s="2" t="s">
        <v>25</v>
      </c>
      <c r="O35" s="2" t="str">
        <f t="shared" si="1"/>
        <v xml:space="preserve"> </v>
      </c>
      <c r="P35" s="2" t="str">
        <f t="shared" ca="1" si="2"/>
        <v>Old</v>
      </c>
      <c r="Q35" s="2">
        <f t="shared" ca="1" si="3"/>
        <v>38</v>
      </c>
      <c r="R35" s="2" t="str">
        <f t="shared" si="4"/>
        <v>Active</v>
      </c>
      <c r="S35" s="5">
        <f t="shared" ca="1" si="5"/>
        <v>4.3527777777777779</v>
      </c>
      <c r="T35" s="2">
        <f t="shared" si="6"/>
        <v>0</v>
      </c>
      <c r="Z35" t="str">
        <f t="shared" si="0"/>
        <v>January</v>
      </c>
    </row>
    <row r="36" spans="5:26" x14ac:dyDescent="0.3">
      <c r="E36" s="2" t="s">
        <v>75</v>
      </c>
      <c r="F36" s="2" t="s">
        <v>76</v>
      </c>
      <c r="G36" s="2" t="s">
        <v>19</v>
      </c>
      <c r="H36" s="3">
        <v>44911</v>
      </c>
      <c r="I36" s="2"/>
      <c r="J36" s="2">
        <v>5</v>
      </c>
      <c r="K36" s="2">
        <v>86.56</v>
      </c>
      <c r="L36" s="3">
        <v>45969</v>
      </c>
      <c r="M36" s="2" t="s">
        <v>50</v>
      </c>
      <c r="N36" s="2" t="s">
        <v>25</v>
      </c>
      <c r="O36" s="2" t="str">
        <f t="shared" si="1"/>
        <v xml:space="preserve"> </v>
      </c>
      <c r="P36" s="2" t="str">
        <f t="shared" ca="1" si="2"/>
        <v>Joined This Month</v>
      </c>
      <c r="Q36" s="2">
        <f t="shared" ca="1" si="3"/>
        <v>0</v>
      </c>
      <c r="R36" s="2" t="str">
        <f t="shared" si="4"/>
        <v>Active</v>
      </c>
      <c r="S36" s="5">
        <f t="shared" ca="1" si="5"/>
        <v>2.963888888888889</v>
      </c>
      <c r="T36" s="2">
        <f t="shared" si="6"/>
        <v>0</v>
      </c>
      <c r="Z36" t="str">
        <f t="shared" si="0"/>
        <v>August</v>
      </c>
    </row>
    <row r="37" spans="5:26" x14ac:dyDescent="0.3">
      <c r="E37" s="2" t="s">
        <v>77</v>
      </c>
      <c r="F37" s="2" t="s">
        <v>78</v>
      </c>
      <c r="G37" s="2" t="s">
        <v>12</v>
      </c>
      <c r="H37" s="3">
        <v>43174</v>
      </c>
      <c r="I37" s="3">
        <v>44434</v>
      </c>
      <c r="J37" s="2">
        <v>22</v>
      </c>
      <c r="K37" s="2">
        <v>87.81</v>
      </c>
      <c r="L37" s="3">
        <v>45978</v>
      </c>
      <c r="M37" s="2" t="s">
        <v>20</v>
      </c>
      <c r="N37" s="2" t="s">
        <v>25</v>
      </c>
      <c r="O37" s="2" t="str">
        <f t="shared" si="1"/>
        <v>August</v>
      </c>
      <c r="P37" s="2" t="str">
        <f t="shared" ca="1" si="2"/>
        <v>Old</v>
      </c>
      <c r="Q37" s="2">
        <f t="shared" ca="1" si="3"/>
        <v>0</v>
      </c>
      <c r="R37" s="2" t="str">
        <f t="shared" si="4"/>
        <v>Resigned</v>
      </c>
      <c r="S37" s="5">
        <f t="shared" ca="1" si="5"/>
        <v>7.7166666666666668</v>
      </c>
      <c r="T37" s="2">
        <f t="shared" si="6"/>
        <v>0</v>
      </c>
      <c r="Z37" t="str">
        <f t="shared" si="0"/>
        <v>January</v>
      </c>
    </row>
    <row r="38" spans="5:26" x14ac:dyDescent="0.3">
      <c r="E38" s="2" t="s">
        <v>79</v>
      </c>
      <c r="F38" s="2" t="s">
        <v>80</v>
      </c>
      <c r="G38" s="2" t="s">
        <v>28</v>
      </c>
      <c r="H38" s="3">
        <v>44710</v>
      </c>
      <c r="I38" s="2"/>
      <c r="J38" s="2">
        <v>22</v>
      </c>
      <c r="K38" s="2">
        <v>78.48</v>
      </c>
      <c r="L38" s="3">
        <v>46139</v>
      </c>
      <c r="M38" s="2" t="s">
        <v>20</v>
      </c>
      <c r="N38" s="2" t="s">
        <v>25</v>
      </c>
      <c r="O38" s="2" t="str">
        <f t="shared" si="1"/>
        <v xml:space="preserve"> </v>
      </c>
      <c r="P38" s="2" t="str">
        <f t="shared" ca="1" si="2"/>
        <v>Old</v>
      </c>
      <c r="Q38" s="2">
        <f t="shared" ca="1" si="3"/>
        <v>145</v>
      </c>
      <c r="R38" s="2" t="str">
        <f t="shared" si="4"/>
        <v>Active</v>
      </c>
      <c r="S38" s="5">
        <f t="shared" ca="1" si="5"/>
        <v>3.5111111111111111</v>
      </c>
      <c r="T38" s="2">
        <f t="shared" si="6"/>
        <v>0</v>
      </c>
      <c r="Z38" t="str">
        <f t="shared" si="0"/>
        <v>January</v>
      </c>
    </row>
    <row r="39" spans="5:26" x14ac:dyDescent="0.3">
      <c r="E39" s="2" t="s">
        <v>81</v>
      </c>
      <c r="F39" s="2" t="s">
        <v>82</v>
      </c>
      <c r="G39" s="2" t="s">
        <v>28</v>
      </c>
      <c r="H39" s="3">
        <v>43560</v>
      </c>
      <c r="I39" s="2"/>
      <c r="J39" s="2">
        <v>25</v>
      </c>
      <c r="K39" s="2">
        <v>93.74</v>
      </c>
      <c r="L39" s="3">
        <v>46096</v>
      </c>
      <c r="M39" s="2" t="s">
        <v>13</v>
      </c>
      <c r="N39" s="2" t="s">
        <v>37</v>
      </c>
      <c r="O39" s="2" t="str">
        <f t="shared" si="1"/>
        <v xml:space="preserve"> </v>
      </c>
      <c r="P39" s="2" t="str">
        <f t="shared" ca="1" si="2"/>
        <v>Old</v>
      </c>
      <c r="Q39" s="2">
        <f t="shared" ca="1" si="3"/>
        <v>102</v>
      </c>
      <c r="R39" s="2" t="str">
        <f t="shared" si="4"/>
        <v>Active</v>
      </c>
      <c r="S39" s="5">
        <f t="shared" ca="1" si="5"/>
        <v>6.6611111111111114</v>
      </c>
      <c r="T39" s="2">
        <f t="shared" si="6"/>
        <v>0</v>
      </c>
      <c r="Z39" t="str">
        <f t="shared" si="0"/>
        <v>January</v>
      </c>
    </row>
    <row r="40" spans="5:26" x14ac:dyDescent="0.3">
      <c r="E40" s="2" t="s">
        <v>83</v>
      </c>
      <c r="F40" s="2" t="s">
        <v>84</v>
      </c>
      <c r="G40" s="2" t="s">
        <v>12</v>
      </c>
      <c r="H40" s="3">
        <v>44500</v>
      </c>
      <c r="I40" s="2"/>
      <c r="J40" s="2">
        <v>3</v>
      </c>
      <c r="K40" s="2">
        <v>86.34</v>
      </c>
      <c r="L40" s="3">
        <v>46091</v>
      </c>
      <c r="M40" s="2" t="s">
        <v>13</v>
      </c>
      <c r="N40" s="2" t="s">
        <v>21</v>
      </c>
      <c r="O40" s="2" t="str">
        <f t="shared" si="1"/>
        <v xml:space="preserve"> </v>
      </c>
      <c r="P40" s="2" t="str">
        <f t="shared" ca="1" si="2"/>
        <v>Old</v>
      </c>
      <c r="Q40" s="2">
        <f t="shared" ca="1" si="3"/>
        <v>97</v>
      </c>
      <c r="R40" s="2" t="str">
        <f t="shared" si="4"/>
        <v>Active</v>
      </c>
      <c r="S40" s="5">
        <f t="shared" ca="1" si="5"/>
        <v>4.0916666666666668</v>
      </c>
      <c r="T40" s="2">
        <f t="shared" si="6"/>
        <v>0</v>
      </c>
      <c r="Z40" t="str">
        <f t="shared" si="0"/>
        <v>September</v>
      </c>
    </row>
    <row r="41" spans="5:26" x14ac:dyDescent="0.3">
      <c r="E41" s="2" t="s">
        <v>85</v>
      </c>
      <c r="F41" s="2" t="s">
        <v>86</v>
      </c>
      <c r="G41" s="2" t="s">
        <v>19</v>
      </c>
      <c r="H41" s="3">
        <v>45143</v>
      </c>
      <c r="I41" s="3">
        <v>45903</v>
      </c>
      <c r="J41" s="2">
        <v>2</v>
      </c>
      <c r="K41" s="2">
        <v>71.790000000000006</v>
      </c>
      <c r="L41" s="3">
        <v>46025</v>
      </c>
      <c r="M41" s="2" t="s">
        <v>20</v>
      </c>
      <c r="N41" s="2" t="s">
        <v>31</v>
      </c>
      <c r="O41" s="2" t="str">
        <f t="shared" si="1"/>
        <v>September</v>
      </c>
      <c r="P41" s="2" t="str">
        <f t="shared" ca="1" si="2"/>
        <v>Old</v>
      </c>
      <c r="Q41" s="2">
        <f t="shared" ca="1" si="3"/>
        <v>31</v>
      </c>
      <c r="R41" s="2" t="str">
        <f t="shared" si="4"/>
        <v>Resigned</v>
      </c>
      <c r="S41" s="5">
        <f t="shared" ca="1" si="5"/>
        <v>2.3277777777777779</v>
      </c>
      <c r="T41" s="2">
        <f t="shared" si="6"/>
        <v>1</v>
      </c>
      <c r="Z41" t="str">
        <f t="shared" si="0"/>
        <v>December</v>
      </c>
    </row>
    <row r="42" spans="5:26" x14ac:dyDescent="0.3">
      <c r="E42" s="2" t="s">
        <v>87</v>
      </c>
      <c r="F42" s="2" t="s">
        <v>88</v>
      </c>
      <c r="G42" s="2" t="s">
        <v>12</v>
      </c>
      <c r="H42" s="3">
        <v>44875</v>
      </c>
      <c r="I42" s="3">
        <v>45269</v>
      </c>
      <c r="J42" s="2">
        <v>3</v>
      </c>
      <c r="K42" s="2">
        <v>84.06</v>
      </c>
      <c r="L42" s="3">
        <v>46141</v>
      </c>
      <c r="M42" s="2" t="s">
        <v>20</v>
      </c>
      <c r="N42" s="2" t="s">
        <v>37</v>
      </c>
      <c r="O42" s="2" t="str">
        <f t="shared" si="1"/>
        <v>December</v>
      </c>
      <c r="P42" s="2" t="str">
        <f t="shared" ca="1" si="2"/>
        <v>Old</v>
      </c>
      <c r="Q42" s="2">
        <f t="shared" ca="1" si="3"/>
        <v>147</v>
      </c>
      <c r="R42" s="2" t="str">
        <f t="shared" si="4"/>
        <v>Resigned</v>
      </c>
      <c r="S42" s="5">
        <f t="shared" ca="1" si="5"/>
        <v>3.0638888888888891</v>
      </c>
      <c r="T42" s="2">
        <f t="shared" si="6"/>
        <v>0</v>
      </c>
      <c r="Z42" t="str">
        <f t="shared" si="0"/>
        <v>September</v>
      </c>
    </row>
    <row r="43" spans="5:26" x14ac:dyDescent="0.3">
      <c r="E43" s="2" t="s">
        <v>89</v>
      </c>
      <c r="F43" s="2" t="s">
        <v>90</v>
      </c>
      <c r="G43" s="2" t="s">
        <v>28</v>
      </c>
      <c r="H43" s="3">
        <v>43691</v>
      </c>
      <c r="I43" s="3">
        <v>45191</v>
      </c>
      <c r="J43" s="2">
        <v>16</v>
      </c>
      <c r="K43" s="2">
        <v>86.2</v>
      </c>
      <c r="L43" s="3">
        <v>46101</v>
      </c>
      <c r="M43" s="2" t="s">
        <v>20</v>
      </c>
      <c r="N43" s="2" t="s">
        <v>25</v>
      </c>
      <c r="O43" s="2" t="str">
        <f t="shared" si="1"/>
        <v>September</v>
      </c>
      <c r="P43" s="2" t="str">
        <f t="shared" ca="1" si="2"/>
        <v>Old</v>
      </c>
      <c r="Q43" s="2">
        <f t="shared" ca="1" si="3"/>
        <v>107</v>
      </c>
      <c r="R43" s="2" t="str">
        <f t="shared" si="4"/>
        <v>Resigned</v>
      </c>
      <c r="S43" s="5">
        <f t="shared" ca="1" si="5"/>
        <v>6.302777777777778</v>
      </c>
      <c r="T43" s="2">
        <f t="shared" si="6"/>
        <v>0</v>
      </c>
      <c r="Z43" t="str">
        <f t="shared" si="0"/>
        <v>January</v>
      </c>
    </row>
    <row r="44" spans="5:26" x14ac:dyDescent="0.3">
      <c r="E44" s="2" t="s">
        <v>91</v>
      </c>
      <c r="F44" s="2" t="s">
        <v>92</v>
      </c>
      <c r="G44" s="2" t="s">
        <v>12</v>
      </c>
      <c r="H44" s="3">
        <v>42431</v>
      </c>
      <c r="I44" s="2"/>
      <c r="J44" s="2">
        <v>23</v>
      </c>
      <c r="K44" s="2">
        <v>79.67</v>
      </c>
      <c r="L44" s="3">
        <v>46025</v>
      </c>
      <c r="M44" s="2" t="s">
        <v>20</v>
      </c>
      <c r="N44" s="2" t="s">
        <v>25</v>
      </c>
      <c r="O44" s="2" t="str">
        <f t="shared" si="1"/>
        <v xml:space="preserve"> </v>
      </c>
      <c r="P44" s="2" t="str">
        <f t="shared" ca="1" si="2"/>
        <v>Old</v>
      </c>
      <c r="Q44" s="2">
        <f t="shared" ca="1" si="3"/>
        <v>31</v>
      </c>
      <c r="R44" s="2" t="str">
        <f t="shared" si="4"/>
        <v>Active</v>
      </c>
      <c r="S44" s="5">
        <f t="shared" ca="1" si="5"/>
        <v>9.7527777777777782</v>
      </c>
      <c r="T44" s="2">
        <f t="shared" si="6"/>
        <v>0</v>
      </c>
      <c r="Z44" t="str">
        <f t="shared" si="0"/>
        <v>January</v>
      </c>
    </row>
    <row r="45" spans="5:26" x14ac:dyDescent="0.3">
      <c r="E45" s="2" t="s">
        <v>93</v>
      </c>
      <c r="F45" s="2" t="s">
        <v>94</v>
      </c>
      <c r="G45" s="2" t="s">
        <v>19</v>
      </c>
      <c r="H45" s="3">
        <v>44113</v>
      </c>
      <c r="I45" s="2"/>
      <c r="J45" s="2">
        <v>21</v>
      </c>
      <c r="K45" s="2">
        <v>95.08</v>
      </c>
      <c r="L45" s="3">
        <v>45964</v>
      </c>
      <c r="M45" s="2" t="s">
        <v>13</v>
      </c>
      <c r="N45" s="2" t="s">
        <v>31</v>
      </c>
      <c r="O45" s="2" t="str">
        <f t="shared" si="1"/>
        <v xml:space="preserve"> </v>
      </c>
      <c r="P45" s="2" t="str">
        <f t="shared" ca="1" si="2"/>
        <v>Old</v>
      </c>
      <c r="Q45" s="2">
        <f t="shared" ca="1" si="3"/>
        <v>0</v>
      </c>
      <c r="R45" s="2" t="str">
        <f t="shared" si="4"/>
        <v>Active</v>
      </c>
      <c r="S45" s="5">
        <f t="shared" ca="1" si="5"/>
        <v>5.15</v>
      </c>
      <c r="T45" s="2">
        <f t="shared" si="6"/>
        <v>0</v>
      </c>
      <c r="Z45" t="str">
        <f t="shared" si="0"/>
        <v>January</v>
      </c>
    </row>
    <row r="46" spans="5:26" x14ac:dyDescent="0.3">
      <c r="E46" s="2" t="s">
        <v>95</v>
      </c>
      <c r="F46" s="2" t="s">
        <v>96</v>
      </c>
      <c r="G46" s="2" t="s">
        <v>42</v>
      </c>
      <c r="H46" s="3">
        <v>43076</v>
      </c>
      <c r="I46" s="2"/>
      <c r="J46" s="2">
        <v>8</v>
      </c>
      <c r="K46" s="2">
        <v>87.29</v>
      </c>
      <c r="L46" s="3">
        <v>45988</v>
      </c>
      <c r="M46" s="2" t="s">
        <v>50</v>
      </c>
      <c r="N46" s="2" t="s">
        <v>34</v>
      </c>
      <c r="O46" s="2" t="str">
        <f t="shared" si="1"/>
        <v xml:space="preserve"> </v>
      </c>
      <c r="P46" s="2" t="str">
        <f t="shared" ca="1" si="2"/>
        <v>Joined This Month</v>
      </c>
      <c r="Q46" s="2">
        <f t="shared" ca="1" si="3"/>
        <v>0</v>
      </c>
      <c r="R46" s="2" t="str">
        <f t="shared" si="4"/>
        <v>Active</v>
      </c>
      <c r="S46" s="5">
        <f t="shared" ca="1" si="5"/>
        <v>7.9888888888888889</v>
      </c>
      <c r="T46" s="2">
        <f t="shared" si="6"/>
        <v>0</v>
      </c>
      <c r="Z46" t="str">
        <f t="shared" si="0"/>
        <v>May</v>
      </c>
    </row>
    <row r="47" spans="5:26" x14ac:dyDescent="0.3">
      <c r="E47" s="2" t="s">
        <v>97</v>
      </c>
      <c r="F47" s="2" t="s">
        <v>98</v>
      </c>
      <c r="G47" s="2" t="s">
        <v>28</v>
      </c>
      <c r="H47" s="3">
        <v>43986</v>
      </c>
      <c r="I47" s="3">
        <v>45794</v>
      </c>
      <c r="J47" s="2">
        <v>5</v>
      </c>
      <c r="K47" s="2">
        <v>99.91</v>
      </c>
      <c r="L47" s="3">
        <v>46056</v>
      </c>
      <c r="M47" s="2" t="s">
        <v>20</v>
      </c>
      <c r="N47" s="2" t="s">
        <v>37</v>
      </c>
      <c r="O47" s="2" t="str">
        <f t="shared" si="1"/>
        <v>May</v>
      </c>
      <c r="P47" s="2" t="str">
        <f t="shared" ca="1" si="2"/>
        <v>Old</v>
      </c>
      <c r="Q47" s="2">
        <f t="shared" ca="1" si="3"/>
        <v>62</v>
      </c>
      <c r="R47" s="2" t="str">
        <f t="shared" si="4"/>
        <v>Resigned</v>
      </c>
      <c r="S47" s="5">
        <f t="shared" ca="1" si="5"/>
        <v>5.4972222222222218</v>
      </c>
      <c r="T47" s="2">
        <f t="shared" si="6"/>
        <v>0</v>
      </c>
      <c r="Z47" t="str">
        <f t="shared" si="0"/>
        <v>April</v>
      </c>
    </row>
    <row r="48" spans="5:26" x14ac:dyDescent="0.3">
      <c r="E48" s="2" t="s">
        <v>99</v>
      </c>
      <c r="F48" s="2" t="s">
        <v>100</v>
      </c>
      <c r="G48" s="2" t="s">
        <v>49</v>
      </c>
      <c r="H48" s="3">
        <v>43318</v>
      </c>
      <c r="I48" s="3">
        <v>45024</v>
      </c>
      <c r="J48" s="2">
        <v>15</v>
      </c>
      <c r="K48" s="2">
        <v>80.44</v>
      </c>
      <c r="L48" s="3">
        <v>46013</v>
      </c>
      <c r="M48" s="2" t="s">
        <v>20</v>
      </c>
      <c r="N48" s="2" t="s">
        <v>14</v>
      </c>
      <c r="O48" s="2" t="str">
        <f t="shared" si="1"/>
        <v>April</v>
      </c>
      <c r="P48" s="2" t="str">
        <f t="shared" ca="1" si="2"/>
        <v>Old</v>
      </c>
      <c r="Q48" s="2">
        <f t="shared" ca="1" si="3"/>
        <v>19</v>
      </c>
      <c r="R48" s="2" t="str">
        <f t="shared" si="4"/>
        <v>Resigned</v>
      </c>
      <c r="S48" s="5">
        <f t="shared" ca="1" si="5"/>
        <v>7.3250000000000002</v>
      </c>
      <c r="T48" s="2">
        <f t="shared" si="6"/>
        <v>0</v>
      </c>
      <c r="Z48" t="str">
        <f t="shared" si="0"/>
        <v>January</v>
      </c>
    </row>
    <row r="49" spans="5:26" x14ac:dyDescent="0.3">
      <c r="E49" s="2" t="s">
        <v>101</v>
      </c>
      <c r="F49" s="2" t="s">
        <v>102</v>
      </c>
      <c r="G49" s="2" t="s">
        <v>19</v>
      </c>
      <c r="H49" s="3">
        <v>44874</v>
      </c>
      <c r="I49" s="2"/>
      <c r="J49" s="2">
        <v>10</v>
      </c>
      <c r="K49" s="2">
        <v>82.35</v>
      </c>
      <c r="L49" s="3">
        <v>46086</v>
      </c>
      <c r="M49" s="2" t="s">
        <v>20</v>
      </c>
      <c r="N49" s="2" t="s">
        <v>14</v>
      </c>
      <c r="O49" s="2" t="str">
        <f t="shared" si="1"/>
        <v xml:space="preserve"> </v>
      </c>
      <c r="P49" s="2" t="str">
        <f t="shared" ca="1" si="2"/>
        <v>Old</v>
      </c>
      <c r="Q49" s="2">
        <f t="shared" ca="1" si="3"/>
        <v>92</v>
      </c>
      <c r="R49" s="2" t="str">
        <f t="shared" si="4"/>
        <v>Active</v>
      </c>
      <c r="S49" s="5">
        <f t="shared" ca="1" si="5"/>
        <v>3.0666666666666669</v>
      </c>
      <c r="T49" s="2">
        <f t="shared" si="6"/>
        <v>0</v>
      </c>
      <c r="Z49" t="str">
        <f t="shared" si="0"/>
        <v>December</v>
      </c>
    </row>
    <row r="50" spans="5:26" x14ac:dyDescent="0.3">
      <c r="E50" s="2" t="s">
        <v>103</v>
      </c>
      <c r="F50" s="2" t="s">
        <v>104</v>
      </c>
      <c r="G50" s="2" t="s">
        <v>24</v>
      </c>
      <c r="H50" s="3">
        <v>42539</v>
      </c>
      <c r="I50" s="3">
        <v>42728</v>
      </c>
      <c r="J50" s="2">
        <v>1</v>
      </c>
      <c r="K50" s="2">
        <v>83.64</v>
      </c>
      <c r="L50" s="3">
        <v>46098</v>
      </c>
      <c r="M50" s="2" t="s">
        <v>20</v>
      </c>
      <c r="N50" s="2" t="s">
        <v>14</v>
      </c>
      <c r="O50" s="2" t="str">
        <f t="shared" si="1"/>
        <v>December</v>
      </c>
      <c r="P50" s="2" t="str">
        <f t="shared" ca="1" si="2"/>
        <v>Old</v>
      </c>
      <c r="Q50" s="2">
        <f t="shared" ca="1" si="3"/>
        <v>104</v>
      </c>
      <c r="R50" s="2" t="str">
        <f t="shared" si="4"/>
        <v>Resigned</v>
      </c>
      <c r="S50" s="5">
        <f t="shared" ca="1" si="5"/>
        <v>9.4583333333333339</v>
      </c>
      <c r="T50" s="2">
        <f t="shared" si="6"/>
        <v>0</v>
      </c>
      <c r="Z50" t="str">
        <f t="shared" si="0"/>
        <v>May</v>
      </c>
    </row>
    <row r="51" spans="5:26" x14ac:dyDescent="0.3">
      <c r="E51" s="2" t="s">
        <v>105</v>
      </c>
      <c r="F51" s="2" t="s">
        <v>106</v>
      </c>
      <c r="G51" s="2" t="s">
        <v>49</v>
      </c>
      <c r="H51" s="3">
        <v>43346</v>
      </c>
      <c r="I51" s="3">
        <v>45799</v>
      </c>
      <c r="J51" s="2">
        <v>24</v>
      </c>
      <c r="K51" s="2">
        <v>82.13</v>
      </c>
      <c r="L51" s="3">
        <v>46054</v>
      </c>
      <c r="M51" s="2" t="s">
        <v>13</v>
      </c>
      <c r="N51" s="2" t="s">
        <v>25</v>
      </c>
      <c r="O51" s="2" t="str">
        <f t="shared" si="1"/>
        <v>May</v>
      </c>
      <c r="P51" s="2" t="str">
        <f t="shared" ca="1" si="2"/>
        <v>Old</v>
      </c>
      <c r="Q51" s="2">
        <f t="shared" ca="1" si="3"/>
        <v>60</v>
      </c>
      <c r="R51" s="2" t="str">
        <f t="shared" si="4"/>
        <v>Resigned</v>
      </c>
      <c r="S51" s="5">
        <f t="shared" ca="1" si="5"/>
        <v>7.25</v>
      </c>
      <c r="T51" s="2">
        <f t="shared" si="6"/>
        <v>0</v>
      </c>
      <c r="Z51" t="str">
        <f t="shared" si="0"/>
        <v>January</v>
      </c>
    </row>
    <row r="52" spans="5:26" x14ac:dyDescent="0.3">
      <c r="E52" s="2" t="s">
        <v>107</v>
      </c>
      <c r="F52" s="2" t="s">
        <v>108</v>
      </c>
      <c r="G52" s="2" t="s">
        <v>12</v>
      </c>
      <c r="H52" s="3">
        <v>43079</v>
      </c>
      <c r="I52" s="3">
        <v>43470</v>
      </c>
      <c r="J52" s="2">
        <v>1</v>
      </c>
      <c r="K52" s="2">
        <v>75.63</v>
      </c>
      <c r="L52" s="3">
        <v>45998</v>
      </c>
      <c r="M52" s="2" t="s">
        <v>20</v>
      </c>
      <c r="N52" s="2" t="s">
        <v>31</v>
      </c>
      <c r="O52" s="2" t="str">
        <f t="shared" si="1"/>
        <v xml:space="preserve"> </v>
      </c>
      <c r="P52" s="2" t="str">
        <f t="shared" ca="1" si="2"/>
        <v>Joined This Month</v>
      </c>
      <c r="Q52" s="2">
        <f t="shared" ca="1" si="3"/>
        <v>4</v>
      </c>
      <c r="R52" s="2" t="str">
        <f t="shared" si="4"/>
        <v>Resigned</v>
      </c>
      <c r="S52" s="5">
        <f t="shared" ca="1" si="5"/>
        <v>7.9805555555555552</v>
      </c>
      <c r="T52" s="2">
        <f t="shared" si="6"/>
        <v>0</v>
      </c>
      <c r="Z52" t="str">
        <f t="shared" si="0"/>
        <v>December</v>
      </c>
    </row>
    <row r="53" spans="5:26" x14ac:dyDescent="0.3">
      <c r="E53" s="2" t="s">
        <v>109</v>
      </c>
      <c r="F53" s="2" t="s">
        <v>110</v>
      </c>
      <c r="G53" s="2" t="s">
        <v>42</v>
      </c>
      <c r="H53" s="3">
        <v>45083</v>
      </c>
      <c r="I53" s="3">
        <v>45648</v>
      </c>
      <c r="J53" s="2">
        <v>14</v>
      </c>
      <c r="K53" s="2">
        <v>92.8</v>
      </c>
      <c r="L53" s="3">
        <v>46030</v>
      </c>
      <c r="M53" s="2" t="s">
        <v>50</v>
      </c>
      <c r="N53" s="2" t="s">
        <v>14</v>
      </c>
      <c r="O53" s="2" t="str">
        <f t="shared" si="1"/>
        <v>December</v>
      </c>
      <c r="P53" s="2" t="str">
        <f t="shared" ca="1" si="2"/>
        <v>Old</v>
      </c>
      <c r="Q53" s="2">
        <f t="shared" ca="1" si="3"/>
        <v>36</v>
      </c>
      <c r="R53" s="2" t="str">
        <f t="shared" si="4"/>
        <v>Resigned</v>
      </c>
      <c r="S53" s="5">
        <f t="shared" ca="1" si="5"/>
        <v>2.4916666666666667</v>
      </c>
      <c r="T53" s="2">
        <f t="shared" si="6"/>
        <v>1</v>
      </c>
      <c r="Z53" t="str">
        <f t="shared" si="0"/>
        <v>January</v>
      </c>
    </row>
    <row r="54" spans="5:26" x14ac:dyDescent="0.3">
      <c r="E54" s="2" t="s">
        <v>111</v>
      </c>
      <c r="F54" s="2" t="s">
        <v>112</v>
      </c>
      <c r="G54" s="2" t="s">
        <v>28</v>
      </c>
      <c r="H54" s="3">
        <v>43726</v>
      </c>
      <c r="I54" s="2"/>
      <c r="J54" s="2">
        <v>14</v>
      </c>
      <c r="K54" s="2">
        <v>96.43</v>
      </c>
      <c r="L54" s="3">
        <v>45981</v>
      </c>
      <c r="M54" s="2" t="s">
        <v>20</v>
      </c>
      <c r="N54" s="2" t="s">
        <v>25</v>
      </c>
      <c r="O54" s="2" t="str">
        <f t="shared" si="1"/>
        <v xml:space="preserve"> </v>
      </c>
      <c r="P54" s="2" t="str">
        <f t="shared" ca="1" si="2"/>
        <v>Old</v>
      </c>
      <c r="Q54" s="2">
        <f t="shared" ca="1" si="3"/>
        <v>0</v>
      </c>
      <c r="R54" s="2" t="str">
        <f t="shared" si="4"/>
        <v>Active</v>
      </c>
      <c r="S54" s="5">
        <f t="shared" ca="1" si="5"/>
        <v>6.208333333333333</v>
      </c>
      <c r="T54" s="2">
        <f t="shared" si="6"/>
        <v>0</v>
      </c>
      <c r="Z54" t="str">
        <f t="shared" si="0"/>
        <v>January</v>
      </c>
    </row>
    <row r="55" spans="5:26" x14ac:dyDescent="0.3">
      <c r="E55" s="2" t="s">
        <v>113</v>
      </c>
      <c r="F55" s="2" t="s">
        <v>114</v>
      </c>
      <c r="G55" s="2" t="s">
        <v>42</v>
      </c>
      <c r="H55" s="3">
        <v>42356</v>
      </c>
      <c r="I55" s="2"/>
      <c r="J55" s="2">
        <v>19</v>
      </c>
      <c r="K55" s="2">
        <v>93.98</v>
      </c>
      <c r="L55" s="3">
        <v>46092</v>
      </c>
      <c r="M55" s="2" t="s">
        <v>13</v>
      </c>
      <c r="N55" s="2" t="s">
        <v>21</v>
      </c>
      <c r="O55" s="2" t="str">
        <f t="shared" si="1"/>
        <v xml:space="preserve"> </v>
      </c>
      <c r="P55" s="2" t="str">
        <f t="shared" ca="1" si="2"/>
        <v>Joined This Month</v>
      </c>
      <c r="Q55" s="2">
        <f t="shared" ca="1" si="3"/>
        <v>98</v>
      </c>
      <c r="R55" s="2" t="str">
        <f t="shared" si="4"/>
        <v>Active</v>
      </c>
      <c r="S55" s="5">
        <f t="shared" ca="1" si="5"/>
        <v>9.9583333333333339</v>
      </c>
      <c r="T55" s="2">
        <f t="shared" si="6"/>
        <v>0</v>
      </c>
      <c r="Z55" t="str">
        <f t="shared" si="0"/>
        <v>November</v>
      </c>
    </row>
    <row r="56" spans="5:26" x14ac:dyDescent="0.3">
      <c r="E56" s="2" t="s">
        <v>115</v>
      </c>
      <c r="F56" s="2" t="s">
        <v>116</v>
      </c>
      <c r="G56" s="2" t="s">
        <v>24</v>
      </c>
      <c r="H56" s="3">
        <v>42451</v>
      </c>
      <c r="I56" s="3">
        <v>42687</v>
      </c>
      <c r="J56" s="2">
        <v>0</v>
      </c>
      <c r="K56" s="2">
        <v>86.57</v>
      </c>
      <c r="L56" s="3">
        <v>46032</v>
      </c>
      <c r="M56" s="2" t="s">
        <v>50</v>
      </c>
      <c r="N56" s="2" t="s">
        <v>21</v>
      </c>
      <c r="O56" s="2" t="str">
        <f t="shared" si="1"/>
        <v>November</v>
      </c>
      <c r="P56" s="2" t="str">
        <f t="shared" ca="1" si="2"/>
        <v>Old</v>
      </c>
      <c r="Q56" s="2">
        <f t="shared" ca="1" si="3"/>
        <v>38</v>
      </c>
      <c r="R56" s="2" t="str">
        <f t="shared" si="4"/>
        <v>Resigned</v>
      </c>
      <c r="S56" s="5">
        <f t="shared" ca="1" si="5"/>
        <v>9.6972222222222229</v>
      </c>
      <c r="T56" s="2">
        <f t="shared" si="6"/>
        <v>0</v>
      </c>
      <c r="Z56" t="str">
        <f t="shared" si="0"/>
        <v>January</v>
      </c>
    </row>
    <row r="57" spans="5:26" x14ac:dyDescent="0.3">
      <c r="E57" s="2" t="s">
        <v>117</v>
      </c>
      <c r="F57" s="2" t="s">
        <v>118</v>
      </c>
      <c r="G57" s="2" t="s">
        <v>12</v>
      </c>
      <c r="H57" s="3">
        <v>45019</v>
      </c>
      <c r="I57" s="2"/>
      <c r="J57" s="2">
        <v>3</v>
      </c>
      <c r="K57" s="2">
        <v>89.43</v>
      </c>
      <c r="L57" s="3">
        <v>46066</v>
      </c>
      <c r="M57" s="2" t="s">
        <v>50</v>
      </c>
      <c r="N57" s="2" t="s">
        <v>34</v>
      </c>
      <c r="O57" s="2" t="str">
        <f t="shared" si="1"/>
        <v xml:space="preserve"> </v>
      </c>
      <c r="P57" s="2" t="str">
        <f t="shared" ca="1" si="2"/>
        <v>Old</v>
      </c>
      <c r="Q57" s="2">
        <f t="shared" ca="1" si="3"/>
        <v>72</v>
      </c>
      <c r="R57" s="2" t="str">
        <f t="shared" si="4"/>
        <v>Active</v>
      </c>
      <c r="S57" s="5">
        <f t="shared" ca="1" si="5"/>
        <v>2.6666666666666665</v>
      </c>
      <c r="T57" s="2">
        <f t="shared" si="6"/>
        <v>1</v>
      </c>
      <c r="Z57" t="str">
        <f t="shared" si="0"/>
        <v>October</v>
      </c>
    </row>
    <row r="58" spans="5:26" x14ac:dyDescent="0.3">
      <c r="E58" s="2" t="s">
        <v>119</v>
      </c>
      <c r="F58" s="2" t="s">
        <v>120</v>
      </c>
      <c r="G58" s="2" t="s">
        <v>24</v>
      </c>
      <c r="H58" s="3">
        <v>42506</v>
      </c>
      <c r="I58" s="3">
        <v>44470</v>
      </c>
      <c r="J58" s="2">
        <v>22</v>
      </c>
      <c r="K58" s="2">
        <v>78.2</v>
      </c>
      <c r="L58" s="3">
        <v>46129</v>
      </c>
      <c r="M58" s="2" t="s">
        <v>20</v>
      </c>
      <c r="N58" s="2" t="s">
        <v>34</v>
      </c>
      <c r="O58" s="2" t="str">
        <f t="shared" si="1"/>
        <v>October</v>
      </c>
      <c r="P58" s="2" t="str">
        <f t="shared" ca="1" si="2"/>
        <v>Old</v>
      </c>
      <c r="Q58" s="2">
        <f t="shared" ca="1" si="3"/>
        <v>135</v>
      </c>
      <c r="R58" s="2" t="str">
        <f t="shared" si="4"/>
        <v>Resigned</v>
      </c>
      <c r="S58" s="5">
        <f t="shared" ca="1" si="5"/>
        <v>9.5472222222222225</v>
      </c>
      <c r="T58" s="2">
        <f t="shared" si="6"/>
        <v>0</v>
      </c>
      <c r="Z58" t="str">
        <f t="shared" si="0"/>
        <v>January</v>
      </c>
    </row>
    <row r="59" spans="5:26" x14ac:dyDescent="0.3">
      <c r="E59" s="2" t="s">
        <v>121</v>
      </c>
      <c r="F59" s="2" t="s">
        <v>122</v>
      </c>
      <c r="G59" s="2" t="s">
        <v>12</v>
      </c>
      <c r="H59" s="3">
        <v>43571</v>
      </c>
      <c r="I59" s="2"/>
      <c r="J59" s="2">
        <v>17</v>
      </c>
      <c r="K59" s="2">
        <v>74.34</v>
      </c>
      <c r="L59" s="3">
        <v>46138</v>
      </c>
      <c r="M59" s="2" t="s">
        <v>50</v>
      </c>
      <c r="N59" s="2" t="s">
        <v>31</v>
      </c>
      <c r="O59" s="2" t="str">
        <f t="shared" si="1"/>
        <v xml:space="preserve"> </v>
      </c>
      <c r="P59" s="2" t="str">
        <f t="shared" ca="1" si="2"/>
        <v>Old</v>
      </c>
      <c r="Q59" s="2">
        <f t="shared" ca="1" si="3"/>
        <v>144</v>
      </c>
      <c r="R59" s="2" t="str">
        <f t="shared" si="4"/>
        <v>Active</v>
      </c>
      <c r="S59" s="5">
        <f t="shared" ca="1" si="5"/>
        <v>6.6305555555555555</v>
      </c>
      <c r="T59" s="2">
        <f t="shared" si="6"/>
        <v>0</v>
      </c>
      <c r="Z59" t="str">
        <f t="shared" si="0"/>
        <v>January</v>
      </c>
    </row>
    <row r="60" spans="5:26" x14ac:dyDescent="0.3">
      <c r="E60" s="2" t="s">
        <v>123</v>
      </c>
      <c r="F60" s="2" t="s">
        <v>124</v>
      </c>
      <c r="G60" s="2" t="s">
        <v>49</v>
      </c>
      <c r="H60" s="3">
        <v>42816</v>
      </c>
      <c r="I60" s="2"/>
      <c r="J60" s="2">
        <v>8</v>
      </c>
      <c r="K60" s="2">
        <v>93.18</v>
      </c>
      <c r="L60" s="3">
        <v>46010</v>
      </c>
      <c r="M60" s="2" t="s">
        <v>20</v>
      </c>
      <c r="N60" s="2" t="s">
        <v>14</v>
      </c>
      <c r="O60" s="2" t="str">
        <f t="shared" si="1"/>
        <v xml:space="preserve"> </v>
      </c>
      <c r="P60" s="2" t="str">
        <f t="shared" ca="1" si="2"/>
        <v>Old</v>
      </c>
      <c r="Q60" s="2">
        <f t="shared" ca="1" si="3"/>
        <v>16</v>
      </c>
      <c r="R60" s="2" t="str">
        <f t="shared" si="4"/>
        <v>Active</v>
      </c>
      <c r="S60" s="5">
        <f t="shared" ca="1" si="5"/>
        <v>8.6972222222222229</v>
      </c>
      <c r="T60" s="2">
        <f t="shared" si="6"/>
        <v>0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Employee_Attendance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lokesh gudimetla</cp:lastModifiedBy>
  <dcterms:created xsi:type="dcterms:W3CDTF">2025-11-01T19:10:51Z</dcterms:created>
  <dcterms:modified xsi:type="dcterms:W3CDTF">2025-12-03T14:03:18Z</dcterms:modified>
</cp:coreProperties>
</file>