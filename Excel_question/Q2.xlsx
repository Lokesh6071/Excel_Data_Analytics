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060B2415-5BE8-45D3-8FD3-FC6182B7A340}" xr6:coauthVersionLast="47" xr6:coauthVersionMax="47" xr10:uidLastSave="{00000000-0000-0000-0000-000000000000}"/>
  <bookViews>
    <workbookView xWindow="-108" yWindow="-108" windowWidth="23256" windowHeight="12456" xr2:uid="{AA8617C7-6C06-428D-B36E-0C22F9C32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" i="1"/>
  <c r="P23" i="1"/>
  <c r="P15" i="1"/>
  <c r="P99" i="1"/>
  <c r="P17" i="1"/>
  <c r="P22" i="1"/>
  <c r="P11" i="1"/>
  <c r="P47" i="1"/>
  <c r="P71" i="1"/>
  <c r="P68" i="1"/>
  <c r="P58" i="1"/>
  <c r="P94" i="1"/>
  <c r="P57" i="1"/>
  <c r="P80" i="1"/>
  <c r="P27" i="1"/>
  <c r="P18" i="1"/>
  <c r="P31" i="1"/>
  <c r="P49" i="1"/>
  <c r="P87" i="1"/>
  <c r="P42" i="1"/>
  <c r="P92" i="1"/>
  <c r="P78" i="1"/>
  <c r="P63" i="1"/>
  <c r="P98" i="1"/>
  <c r="P72" i="1"/>
  <c r="P16" i="1"/>
  <c r="P93" i="1"/>
  <c r="P70" i="1"/>
  <c r="P39" i="1"/>
  <c r="P54" i="1"/>
  <c r="P65" i="1"/>
  <c r="P34" i="1"/>
  <c r="P13" i="1"/>
  <c r="P61" i="1"/>
  <c r="P12" i="1"/>
  <c r="P35" i="1"/>
  <c r="P74" i="1"/>
  <c r="P14" i="1"/>
  <c r="P28" i="1"/>
  <c r="P100" i="1"/>
  <c r="P79" i="1"/>
  <c r="P36" i="1"/>
  <c r="P86" i="1"/>
  <c r="P56" i="1"/>
  <c r="P67" i="1"/>
  <c r="P43" i="1"/>
  <c r="P40" i="1"/>
  <c r="P104" i="1"/>
  <c r="P91" i="1"/>
  <c r="P38" i="1"/>
  <c r="P29" i="1"/>
  <c r="P59" i="1"/>
  <c r="P26" i="1"/>
  <c r="P46" i="1"/>
  <c r="P55" i="1"/>
  <c r="P85" i="1"/>
  <c r="P66" i="1"/>
  <c r="P107" i="1"/>
  <c r="P82" i="1"/>
  <c r="P88" i="1"/>
  <c r="P110" i="1"/>
  <c r="P45" i="1"/>
  <c r="P25" i="1"/>
  <c r="P76" i="1"/>
  <c r="P32" i="1"/>
  <c r="P101" i="1"/>
  <c r="P89" i="1"/>
  <c r="P52" i="1"/>
  <c r="P30" i="1"/>
  <c r="P20" i="1"/>
  <c r="P105" i="1"/>
  <c r="P95" i="1"/>
  <c r="P48" i="1"/>
  <c r="P77" i="1"/>
  <c r="P84" i="1"/>
  <c r="P83" i="1"/>
  <c r="P41" i="1"/>
  <c r="P108" i="1"/>
  <c r="P19" i="1"/>
  <c r="P51" i="1"/>
  <c r="P81" i="1"/>
  <c r="P44" i="1"/>
  <c r="P64" i="1"/>
  <c r="P75" i="1"/>
  <c r="P106" i="1"/>
  <c r="P21" i="1"/>
  <c r="P90" i="1"/>
  <c r="P37" i="1"/>
  <c r="P97" i="1"/>
  <c r="P62" i="1"/>
  <c r="P73" i="1"/>
  <c r="P96" i="1"/>
  <c r="P33" i="1"/>
  <c r="P50" i="1"/>
  <c r="P69" i="1"/>
  <c r="P53" i="1"/>
  <c r="P60" i="1"/>
  <c r="P24" i="1"/>
  <c r="P103" i="1"/>
  <c r="P109" i="1"/>
  <c r="P102" i="1"/>
</calcChain>
</file>

<file path=xl/sharedStrings.xml><?xml version="1.0" encoding="utf-8"?>
<sst xmlns="http://schemas.openxmlformats.org/spreadsheetml/2006/main" count="923" uniqueCount="295">
  <si>
    <t>Order ID</t>
  </si>
  <si>
    <t>Date</t>
  </si>
  <si>
    <t>Customer Name</t>
  </si>
  <si>
    <t>Region</t>
  </si>
  <si>
    <t>Product Category</t>
  </si>
  <si>
    <t>Product Name</t>
  </si>
  <si>
    <t>Quantity</t>
  </si>
  <si>
    <t>Unit Price</t>
  </si>
  <si>
    <t>Discount</t>
  </si>
  <si>
    <t>Salesperson</t>
  </si>
  <si>
    <t>Payment Mode</t>
  </si>
  <si>
    <t>Amount</t>
  </si>
  <si>
    <t>ORD001</t>
  </si>
  <si>
    <t>2024-04-02</t>
  </si>
  <si>
    <t>Sarah Clark</t>
  </si>
  <si>
    <t>South</t>
  </si>
  <si>
    <t>Clothing</t>
  </si>
  <si>
    <t>Formal Shirt</t>
  </si>
  <si>
    <t>10%</t>
  </si>
  <si>
    <t>A. Sharma</t>
  </si>
  <si>
    <t>Cash</t>
  </si>
  <si>
    <t>ORD002</t>
  </si>
  <si>
    <t>2024-04-20</t>
  </si>
  <si>
    <t>Sophia Scott</t>
  </si>
  <si>
    <t>Electronics</t>
  </si>
  <si>
    <t>Bluetooth Speaker</t>
  </si>
  <si>
    <t>8%</t>
  </si>
  <si>
    <t>R. Mehta</t>
  </si>
  <si>
    <t>Credit Card</t>
  </si>
  <si>
    <t>ORD003</t>
  </si>
  <si>
    <t>2024-04-24</t>
  </si>
  <si>
    <t>Sarah Harris</t>
  </si>
  <si>
    <t>East</t>
  </si>
  <si>
    <t>Smartwatch</t>
  </si>
  <si>
    <t>0%</t>
  </si>
  <si>
    <t>ORD004</t>
  </si>
  <si>
    <t>2024-05-31</t>
  </si>
  <si>
    <t>Benjamin Wilson</t>
  </si>
  <si>
    <t>West</t>
  </si>
  <si>
    <t>Furniture</t>
  </si>
  <si>
    <t>Study Table</t>
  </si>
  <si>
    <t>N. Patel</t>
  </si>
  <si>
    <t>ORD005</t>
  </si>
  <si>
    <t>2024-05-10</t>
  </si>
  <si>
    <t>Henry Smith</t>
  </si>
  <si>
    <t>ORD006</t>
  </si>
  <si>
    <t>2024-05-06</t>
  </si>
  <si>
    <t>Ethan Taylor</t>
  </si>
  <si>
    <t>Jeans</t>
  </si>
  <si>
    <t>UPI</t>
  </si>
  <si>
    <t>ORD007</t>
  </si>
  <si>
    <t>2024-05-20</t>
  </si>
  <si>
    <t>Isabella Moore</t>
  </si>
  <si>
    <t>North</t>
  </si>
  <si>
    <t>ORD008</t>
  </si>
  <si>
    <t>Ethan Clark</t>
  </si>
  <si>
    <t>Office Chair</t>
  </si>
  <si>
    <t>ORD009</t>
  </si>
  <si>
    <t>2024-05-02</t>
  </si>
  <si>
    <t>David Anderson</t>
  </si>
  <si>
    <t>Laptop</t>
  </si>
  <si>
    <t>ORD010</t>
  </si>
  <si>
    <t>2024-04-30</t>
  </si>
  <si>
    <t>Michael Taylor</t>
  </si>
  <si>
    <t>5%</t>
  </si>
  <si>
    <t>ORD011</t>
  </si>
  <si>
    <t>James Lee</t>
  </si>
  <si>
    <t>T-Shirt</t>
  </si>
  <si>
    <t>ORD012</t>
  </si>
  <si>
    <t>Henry Wilson</t>
  </si>
  <si>
    <t>Bookshelf</t>
  </si>
  <si>
    <t>ORD013</t>
  </si>
  <si>
    <t>2024-05-29</t>
  </si>
  <si>
    <t>Power Bank</t>
  </si>
  <si>
    <t>S. Rao</t>
  </si>
  <si>
    <t>ORD014</t>
  </si>
  <si>
    <t>2024-04-16</t>
  </si>
  <si>
    <t>Emily Lewis</t>
  </si>
  <si>
    <t>ORD015</t>
  </si>
  <si>
    <t>2024-04-21</t>
  </si>
  <si>
    <t>Mia Davis</t>
  </si>
  <si>
    <t>Earphones</t>
  </si>
  <si>
    <t>7%</t>
  </si>
  <si>
    <t>ORD016</t>
  </si>
  <si>
    <t>2024-05-11</t>
  </si>
  <si>
    <t>Benjamin Scott</t>
  </si>
  <si>
    <t>ORD017</t>
  </si>
  <si>
    <t>2024-05-05</t>
  </si>
  <si>
    <t>Sarah White</t>
  </si>
  <si>
    <t>ORD018</t>
  </si>
  <si>
    <t>2024-04-06</t>
  </si>
  <si>
    <t>James Taylor</t>
  </si>
  <si>
    <t>ORD019</t>
  </si>
  <si>
    <t>2024-05-12</t>
  </si>
  <si>
    <t>Isabella Garcia</t>
  </si>
  <si>
    <t>ORD020</t>
  </si>
  <si>
    <t>2024-04-04</t>
  </si>
  <si>
    <t>Emily Wilson</t>
  </si>
  <si>
    <t>Denim Jacket</t>
  </si>
  <si>
    <t>ORD021</t>
  </si>
  <si>
    <t>2024-05-17</t>
  </si>
  <si>
    <t>Liam Martin</t>
  </si>
  <si>
    <t>Sneakers</t>
  </si>
  <si>
    <t>ORD022</t>
  </si>
  <si>
    <t>2024-04-07</t>
  </si>
  <si>
    <t>Ethan Jackson</t>
  </si>
  <si>
    <t>ORD023</t>
  </si>
  <si>
    <t>2024-04-05</t>
  </si>
  <si>
    <t>Benjamin Johnson</t>
  </si>
  <si>
    <t>ORD024</t>
  </si>
  <si>
    <t>2024-04-19</t>
  </si>
  <si>
    <t>Sophia Lewis</t>
  </si>
  <si>
    <t>ORD025</t>
  </si>
  <si>
    <t>2024-04-15</t>
  </si>
  <si>
    <t>Emily Scott</t>
  </si>
  <si>
    <t>ORD026</t>
  </si>
  <si>
    <t>Liam Smith</t>
  </si>
  <si>
    <t>ORD027</t>
  </si>
  <si>
    <t>Lucas Anderson</t>
  </si>
  <si>
    <t>ORD028</t>
  </si>
  <si>
    <t>2024-05-13</t>
  </si>
  <si>
    <t>John Johnson</t>
  </si>
  <si>
    <t>ORD029</t>
  </si>
  <si>
    <t>Emma Taylor</t>
  </si>
  <si>
    <t>Sofa Set</t>
  </si>
  <si>
    <t>ORD030</t>
  </si>
  <si>
    <t>2024-04-09</t>
  </si>
  <si>
    <t>Michael Smith</t>
  </si>
  <si>
    <t>ORD031</t>
  </si>
  <si>
    <t>2024-05-21</t>
  </si>
  <si>
    <t>Sarah Taylor</t>
  </si>
  <si>
    <t>ORD032</t>
  </si>
  <si>
    <t>2024-04-25</t>
  </si>
  <si>
    <t>Benjamin Lewis</t>
  </si>
  <si>
    <t>ORD033</t>
  </si>
  <si>
    <t>2024-04-28</t>
  </si>
  <si>
    <t>Charlotte Thompson</t>
  </si>
  <si>
    <t>ORD034</t>
  </si>
  <si>
    <t>Ethan Moore</t>
  </si>
  <si>
    <t>ORD035</t>
  </si>
  <si>
    <t>2024-04-01</t>
  </si>
  <si>
    <t>Mia Anderson</t>
  </si>
  <si>
    <t>ORD036</t>
  </si>
  <si>
    <t>2024-04-23</t>
  </si>
  <si>
    <t>Olivia Smith</t>
  </si>
  <si>
    <t>ORD037</t>
  </si>
  <si>
    <t>2024-05-23</t>
  </si>
  <si>
    <t>Charlotte Wilson</t>
  </si>
  <si>
    <t>ORD038</t>
  </si>
  <si>
    <t>2024-04-22</t>
  </si>
  <si>
    <t>John Garcia</t>
  </si>
  <si>
    <t>ORD039</t>
  </si>
  <si>
    <t>ORD040</t>
  </si>
  <si>
    <t>Emma Garcia</t>
  </si>
  <si>
    <t>ORD041</t>
  </si>
  <si>
    <t>2024-05-26</t>
  </si>
  <si>
    <t>Sophia Thomas</t>
  </si>
  <si>
    <t>ORD042</t>
  </si>
  <si>
    <t>2024-04-26</t>
  </si>
  <si>
    <t>Lucas Thompson</t>
  </si>
  <si>
    <t>ORD043</t>
  </si>
  <si>
    <t>Liam Scott</t>
  </si>
  <si>
    <t>ORD044</t>
  </si>
  <si>
    <t>2024-04-10</t>
  </si>
  <si>
    <t>Sophia Brown</t>
  </si>
  <si>
    <t>ORD045</t>
  </si>
  <si>
    <t>Isabella Harris</t>
  </si>
  <si>
    <t>ORD046</t>
  </si>
  <si>
    <t>2024-05-14</t>
  </si>
  <si>
    <t>Lucas Johnson</t>
  </si>
  <si>
    <t>ORD047</t>
  </si>
  <si>
    <t>Ethan Wilson</t>
  </si>
  <si>
    <t>ORD048</t>
  </si>
  <si>
    <t>2024-05-25</t>
  </si>
  <si>
    <t>Emma Johnson</t>
  </si>
  <si>
    <t>Dining Table</t>
  </si>
  <si>
    <t>ORD049</t>
  </si>
  <si>
    <t>ORD050</t>
  </si>
  <si>
    <t>Henry Martin</t>
  </si>
  <si>
    <t>ORD051</t>
  </si>
  <si>
    <t>Charlotte Moore</t>
  </si>
  <si>
    <t>ORD052</t>
  </si>
  <si>
    <t>ORD053</t>
  </si>
  <si>
    <t>Michael Garcia</t>
  </si>
  <si>
    <t>ORD054</t>
  </si>
  <si>
    <t>Sarah Scott</t>
  </si>
  <si>
    <t>ORD055</t>
  </si>
  <si>
    <t>Emily Martin</t>
  </si>
  <si>
    <t>ORD056</t>
  </si>
  <si>
    <t>Emily Taylor</t>
  </si>
  <si>
    <t>ORD057</t>
  </si>
  <si>
    <t>2024-05-27</t>
  </si>
  <si>
    <t>ORD058</t>
  </si>
  <si>
    <t>Henry Clark</t>
  </si>
  <si>
    <t>ORD059</t>
  </si>
  <si>
    <t>Lucas Scott</t>
  </si>
  <si>
    <t>ORD060</t>
  </si>
  <si>
    <t>2024-04-29</t>
  </si>
  <si>
    <t>David Thomas</t>
  </si>
  <si>
    <t>ORD061</t>
  </si>
  <si>
    <t>Liam Jackson</t>
  </si>
  <si>
    <t>ORD062</t>
  </si>
  <si>
    <t>2024-04-08</t>
  </si>
  <si>
    <t>Olivia Harris</t>
  </si>
  <si>
    <t>ORD063</t>
  </si>
  <si>
    <t>Charlotte Brown</t>
  </si>
  <si>
    <t>ORD064</t>
  </si>
  <si>
    <t>Ava Jackson</t>
  </si>
  <si>
    <t>ORD065</t>
  </si>
  <si>
    <t>2024-05-04</t>
  </si>
  <si>
    <t>James Scott</t>
  </si>
  <si>
    <t>ORD066</t>
  </si>
  <si>
    <t>2024-05-01</t>
  </si>
  <si>
    <t>David Smith</t>
  </si>
  <si>
    <t>ORD067</t>
  </si>
  <si>
    <t>Amelia Wilson</t>
  </si>
  <si>
    <t>ORD068</t>
  </si>
  <si>
    <t>2024-04-12</t>
  </si>
  <si>
    <t>Henry White</t>
  </si>
  <si>
    <t>ORD069</t>
  </si>
  <si>
    <t>Ava Davis</t>
  </si>
  <si>
    <t>ORD070</t>
  </si>
  <si>
    <t>David Garcia</t>
  </si>
  <si>
    <t>ORD071</t>
  </si>
  <si>
    <t>ORD072</t>
  </si>
  <si>
    <t>Ethan White</t>
  </si>
  <si>
    <t>ORD073</t>
  </si>
  <si>
    <t>ORD074</t>
  </si>
  <si>
    <t>2024-04-27</t>
  </si>
  <si>
    <t>James Jackson</t>
  </si>
  <si>
    <t>ORD075</t>
  </si>
  <si>
    <t>Michael Martin</t>
  </si>
  <si>
    <t>ORD076</t>
  </si>
  <si>
    <t>2024-05-30</t>
  </si>
  <si>
    <t>Ava Smith</t>
  </si>
  <si>
    <t>ORD077</t>
  </si>
  <si>
    <t>James Johnson</t>
  </si>
  <si>
    <t>ORD078</t>
  </si>
  <si>
    <t>2024-04-03</t>
  </si>
  <si>
    <t>Michael Thomas</t>
  </si>
  <si>
    <t>ORD079</t>
  </si>
  <si>
    <t>Isabella Brown</t>
  </si>
  <si>
    <t>ORD080</t>
  </si>
  <si>
    <t>Liam Harris</t>
  </si>
  <si>
    <t>ORD081</t>
  </si>
  <si>
    <t>2024-05-08</t>
  </si>
  <si>
    <t>Michael Lee</t>
  </si>
  <si>
    <t>ORD082</t>
  </si>
  <si>
    <t>2024-05-07</t>
  </si>
  <si>
    <t>ORD083</t>
  </si>
  <si>
    <t>2024-04-13</t>
  </si>
  <si>
    <t>ORD084</t>
  </si>
  <si>
    <t>Ethan Brown</t>
  </si>
  <si>
    <t>ORD085</t>
  </si>
  <si>
    <t>ORD086</t>
  </si>
  <si>
    <t>Benjamin Brown</t>
  </si>
  <si>
    <t>ORD087</t>
  </si>
  <si>
    <t>2024-04-14</t>
  </si>
  <si>
    <t>ORD088</t>
  </si>
  <si>
    <t>ORD089</t>
  </si>
  <si>
    <t>2024-05-28</t>
  </si>
  <si>
    <t>ORD090</t>
  </si>
  <si>
    <t>2024-05-24</t>
  </si>
  <si>
    <t>Michael Martinez</t>
  </si>
  <si>
    <t>ORD091</t>
  </si>
  <si>
    <t>Henry Johnson</t>
  </si>
  <si>
    <t>ORD092</t>
  </si>
  <si>
    <t>Isabella Johnson</t>
  </si>
  <si>
    <t>ORD093</t>
  </si>
  <si>
    <t>ORD094</t>
  </si>
  <si>
    <t>2024-05-22</t>
  </si>
  <si>
    <t>Emma Martinez</t>
  </si>
  <si>
    <t>ORD095</t>
  </si>
  <si>
    <t>2024-05-19</t>
  </si>
  <si>
    <t>Amelia Clark</t>
  </si>
  <si>
    <t>ORD096</t>
  </si>
  <si>
    <t>ORD097</t>
  </si>
  <si>
    <t>Ava Thompson</t>
  </si>
  <si>
    <t>ORD098</t>
  </si>
  <si>
    <t>Noah Thomas</t>
  </si>
  <si>
    <t>ORD099</t>
  </si>
  <si>
    <t>Ava Martin</t>
  </si>
  <si>
    <t>ORD100</t>
  </si>
  <si>
    <t>Benjamin Thomas</t>
  </si>
  <si>
    <t>Add new column for each task</t>
  </si>
  <si>
    <t>Write 'High', for net sales greater then 20000</t>
  </si>
  <si>
    <t>label as “Previous Year Order” for customers whose order date is before 1-Jan-2024</t>
  </si>
  <si>
    <t>Customers whose Salesperson is A. Sharma and Region is North get Bonus of ₹5000.</t>
  </si>
  <si>
    <t>Customers whose starts with letter “S”gets ₹500 Coupon.</t>
  </si>
  <si>
    <t>customers belong to Furniture or Home Decor product category with Unit Price &gt; 15000, mark as 'Premium Product'.</t>
  </si>
  <si>
    <t>Net Sales</t>
  </si>
  <si>
    <t>Bouns</t>
  </si>
  <si>
    <t>Label</t>
  </si>
  <si>
    <t>Product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</si>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</sst>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2"/>
      <color theme="5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1" xfId="0" applyBorder="1"/>
    <xf numFmtId="9" fontId="0" fillId="0" borderId="1" xfId="0" quotePrefix="1" applyNumberFormat="1" applyBorder="1"/>
    <xf numFmtId="0" fontId="4" fillId="2" borderId="0" xfId="0" applyFont="1" applyFill="1"/>
    <xf numFmtId="0" fontId="0" fillId="2" borderId="0" xfId="0" applyFill="1"/>
    <xf numFmtId="14" fontId="0" fillId="0" borderId="1" xfId="0" applyNumberFormat="1" applyBorder="1"/>
    <xf numFmtId="167" fontId="0" fillId="0" borderId="1" xfId="0" applyNumberFormat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83CC-F04B-40C9-BB51-A4AD26A732D6}">
  <dimension ref="E2:U110"/>
  <sheetViews>
    <sheetView tabSelected="1" zoomScale="65" workbookViewId="0">
      <selection activeCell="Y13" sqref="Y13"/>
    </sheetView>
  </sheetViews>
  <sheetFormatPr defaultRowHeight="14.4" x14ac:dyDescent="0.3"/>
  <cols>
    <col min="6" max="6" width="10.33203125" bestFit="1" customWidth="1"/>
    <col min="7" max="7" width="17.88671875" bestFit="1" customWidth="1"/>
    <col min="9" max="9" width="15.77734375" bestFit="1" customWidth="1"/>
    <col min="10" max="10" width="16.109375" bestFit="1" customWidth="1"/>
    <col min="14" max="14" width="11" bestFit="1" customWidth="1"/>
    <col min="15" max="15" width="14.109375" bestFit="1" customWidth="1"/>
    <col min="16" max="16" width="10.33203125" bestFit="1" customWidth="1"/>
    <col min="18" max="18" width="11.77734375" customWidth="1"/>
    <col min="19" max="19" width="19.44140625" bestFit="1" customWidth="1"/>
    <col min="20" max="20" width="21.33203125" bestFit="1" customWidth="1"/>
  </cols>
  <sheetData>
    <row r="2" spans="5:21" ht="15.6" x14ac:dyDescent="0.3">
      <c r="E2" s="6" t="s">
        <v>284</v>
      </c>
      <c r="F2" s="7"/>
      <c r="G2" s="7"/>
    </row>
    <row r="3" spans="5:21" x14ac:dyDescent="0.3">
      <c r="E3" s="2" t="s">
        <v>285</v>
      </c>
    </row>
    <row r="4" spans="5:21" x14ac:dyDescent="0.3">
      <c r="E4" s="3" t="s">
        <v>287</v>
      </c>
    </row>
    <row r="5" spans="5:21" x14ac:dyDescent="0.3">
      <c r="E5" s="2" t="s">
        <v>286</v>
      </c>
      <c r="P5" s="9">
        <v>45292</v>
      </c>
    </row>
    <row r="6" spans="5:21" x14ac:dyDescent="0.3">
      <c r="E6" s="2" t="s">
        <v>289</v>
      </c>
    </row>
    <row r="7" spans="5:21" x14ac:dyDescent="0.3">
      <c r="E7" s="3" t="s">
        <v>288</v>
      </c>
    </row>
    <row r="10" spans="5:21" x14ac:dyDescent="0.3">
      <c r="E10" s="1" t="s">
        <v>0</v>
      </c>
      <c r="F10" s="1" t="s">
        <v>1</v>
      </c>
      <c r="G10" s="1" t="s">
        <v>2</v>
      </c>
      <c r="H10" s="1" t="s">
        <v>3</v>
      </c>
      <c r="I10" s="1" t="s">
        <v>4</v>
      </c>
      <c r="J10" s="1" t="s">
        <v>5</v>
      </c>
      <c r="K10" s="1" t="s">
        <v>6</v>
      </c>
      <c r="L10" s="1" t="s">
        <v>7</v>
      </c>
      <c r="M10" s="1" t="s">
        <v>8</v>
      </c>
      <c r="N10" s="1" t="s">
        <v>9</v>
      </c>
      <c r="O10" s="1" t="s">
        <v>10</v>
      </c>
      <c r="P10" s="1" t="s">
        <v>11</v>
      </c>
      <c r="Q10" s="10" t="s">
        <v>290</v>
      </c>
      <c r="R10" s="10" t="s">
        <v>291</v>
      </c>
      <c r="S10" s="10" t="s">
        <v>292</v>
      </c>
      <c r="T10" s="10" t="s">
        <v>293</v>
      </c>
      <c r="U10" s="10" t="s">
        <v>294</v>
      </c>
    </row>
    <row r="11" spans="5:21" x14ac:dyDescent="0.3">
      <c r="E11" s="4" t="s">
        <v>272</v>
      </c>
      <c r="F11" s="8" t="s">
        <v>273</v>
      </c>
      <c r="G11" s="4" t="s">
        <v>274</v>
      </c>
      <c r="H11" s="4" t="s">
        <v>32</v>
      </c>
      <c r="I11" s="4" t="s">
        <v>16</v>
      </c>
      <c r="J11" s="4" t="s">
        <v>102</v>
      </c>
      <c r="K11" s="4">
        <v>5</v>
      </c>
      <c r="L11" s="4">
        <v>25710</v>
      </c>
      <c r="M11" s="4" t="s">
        <v>18</v>
      </c>
      <c r="N11" s="4" t="s">
        <v>27</v>
      </c>
      <c r="O11" s="4" t="s">
        <v>28</v>
      </c>
      <c r="P11" s="4">
        <f t="shared" ref="P11:P42" si="0">K11*L11</f>
        <v>128550</v>
      </c>
      <c r="Q11" s="4" t="str">
        <f>IF(P11&gt;20000,"High","Less")</f>
        <v>High</v>
      </c>
      <c r="R11" s="4">
        <f>IF(AND(N11="A. Sharma",H11="North"),5000,0)</f>
        <v>0</v>
      </c>
      <c r="S11" s="4" t="str">
        <f>IF(F11&gt;DATE(2024,1,1),"Previous year Order","NA")</f>
        <v>Previous year Order</v>
      </c>
      <c r="T11" s="4" t="str">
        <f>IF(AND(I11="Furniture",L11&gt;1500),"Premium Product","Non Premium Product")</f>
        <v>Non Premium Product</v>
      </c>
      <c r="U11" s="4">
        <f>IF(LEFT(G11,1)="S",500,0)</f>
        <v>0</v>
      </c>
    </row>
    <row r="12" spans="5:21" x14ac:dyDescent="0.3">
      <c r="E12" s="4" t="s">
        <v>214</v>
      </c>
      <c r="F12" s="8" t="s">
        <v>36</v>
      </c>
      <c r="G12" s="4" t="s">
        <v>215</v>
      </c>
      <c r="H12" s="4" t="s">
        <v>32</v>
      </c>
      <c r="I12" s="4" t="s">
        <v>24</v>
      </c>
      <c r="J12" s="4" t="s">
        <v>33</v>
      </c>
      <c r="K12" s="4">
        <v>3</v>
      </c>
      <c r="L12" s="4">
        <v>32387</v>
      </c>
      <c r="M12" s="4" t="s">
        <v>26</v>
      </c>
      <c r="N12" s="4" t="s">
        <v>41</v>
      </c>
      <c r="O12" s="4" t="s">
        <v>20</v>
      </c>
      <c r="P12" s="4">
        <f t="shared" si="0"/>
        <v>97161</v>
      </c>
      <c r="Q12" s="4" t="str">
        <f t="shared" ref="Q12:Q75" si="1">IF(P12&gt;20000,"High","Less")</f>
        <v>High</v>
      </c>
      <c r="R12" s="4">
        <f t="shared" ref="R12:R75" si="2">IF(AND(N12="A. Sharma",H12="North"),5000,0)</f>
        <v>0</v>
      </c>
      <c r="S12" s="4" t="str">
        <f t="shared" ref="S12:S75" si="3">IF(F12&gt;(DATE(2024,1,1)),"Previous year Order","NA")</f>
        <v>Previous year Order</v>
      </c>
      <c r="T12" s="4" t="str">
        <f t="shared" ref="T12:T75" si="4">IF(AND(I12="Furniture",L12&gt;1500),"Premium Product","Non Premium Product")</f>
        <v>Non Premium Product</v>
      </c>
      <c r="U12" s="4">
        <f t="shared" ref="U12:U75" si="5">IF(LEFT(G12,1)="S",500,0)</f>
        <v>0</v>
      </c>
    </row>
    <row r="13" spans="5:21" x14ac:dyDescent="0.3">
      <c r="E13" s="4" t="s">
        <v>219</v>
      </c>
      <c r="F13" s="8" t="s">
        <v>163</v>
      </c>
      <c r="G13" s="4" t="s">
        <v>220</v>
      </c>
      <c r="H13" s="4" t="s">
        <v>32</v>
      </c>
      <c r="I13" s="4" t="s">
        <v>16</v>
      </c>
      <c r="J13" s="4" t="s">
        <v>102</v>
      </c>
      <c r="K13" s="4">
        <v>2</v>
      </c>
      <c r="L13" s="4">
        <v>24776</v>
      </c>
      <c r="M13" s="4" t="s">
        <v>64</v>
      </c>
      <c r="N13" s="4" t="s">
        <v>27</v>
      </c>
      <c r="O13" s="4" t="s">
        <v>49</v>
      </c>
      <c r="P13" s="4">
        <f t="shared" si="0"/>
        <v>49552</v>
      </c>
      <c r="Q13" s="4" t="str">
        <f t="shared" si="1"/>
        <v>High</v>
      </c>
      <c r="R13" s="4">
        <f t="shared" si="2"/>
        <v>0</v>
      </c>
      <c r="S13" s="4" t="str">
        <f t="shared" si="3"/>
        <v>Previous year Order</v>
      </c>
      <c r="T13" s="4" t="str">
        <f t="shared" si="4"/>
        <v>Non Premium Product</v>
      </c>
      <c r="U13" s="4">
        <f t="shared" si="5"/>
        <v>0</v>
      </c>
    </row>
    <row r="14" spans="5:21" x14ac:dyDescent="0.3">
      <c r="E14" s="4" t="s">
        <v>206</v>
      </c>
      <c r="F14" s="8" t="s">
        <v>197</v>
      </c>
      <c r="G14" s="4" t="s">
        <v>207</v>
      </c>
      <c r="H14" s="4" t="s">
        <v>15</v>
      </c>
      <c r="I14" s="4" t="s">
        <v>16</v>
      </c>
      <c r="J14" s="4" t="s">
        <v>67</v>
      </c>
      <c r="K14" s="4">
        <v>2</v>
      </c>
      <c r="L14" s="4">
        <v>28230</v>
      </c>
      <c r="M14" s="4" t="s">
        <v>26</v>
      </c>
      <c r="N14" s="4" t="s">
        <v>41</v>
      </c>
      <c r="O14" s="4" t="s">
        <v>20</v>
      </c>
      <c r="P14" s="4">
        <f t="shared" si="0"/>
        <v>56460</v>
      </c>
      <c r="Q14" s="4" t="str">
        <f t="shared" si="1"/>
        <v>High</v>
      </c>
      <c r="R14" s="4">
        <f t="shared" si="2"/>
        <v>0</v>
      </c>
      <c r="S14" s="4" t="str">
        <f t="shared" si="3"/>
        <v>Previous year Order</v>
      </c>
      <c r="T14" s="4" t="str">
        <f t="shared" si="4"/>
        <v>Non Premium Product</v>
      </c>
      <c r="U14" s="4">
        <f t="shared" si="5"/>
        <v>0</v>
      </c>
    </row>
    <row r="15" spans="5:21" x14ac:dyDescent="0.3">
      <c r="E15" s="4" t="s">
        <v>280</v>
      </c>
      <c r="F15" s="8" t="s">
        <v>212</v>
      </c>
      <c r="G15" s="4" t="s">
        <v>281</v>
      </c>
      <c r="H15" s="4" t="s">
        <v>32</v>
      </c>
      <c r="I15" s="4" t="s">
        <v>16</v>
      </c>
      <c r="J15" s="4" t="s">
        <v>48</v>
      </c>
      <c r="K15" s="4">
        <v>3</v>
      </c>
      <c r="L15" s="4">
        <v>17996</v>
      </c>
      <c r="M15" s="4" t="s">
        <v>64</v>
      </c>
      <c r="N15" s="4" t="s">
        <v>19</v>
      </c>
      <c r="O15" s="4" t="s">
        <v>20</v>
      </c>
      <c r="P15" s="4">
        <f t="shared" si="0"/>
        <v>53988</v>
      </c>
      <c r="Q15" s="4" t="str">
        <f t="shared" si="1"/>
        <v>High</v>
      </c>
      <c r="R15" s="4">
        <f t="shared" si="2"/>
        <v>0</v>
      </c>
      <c r="S15" s="4" t="str">
        <f t="shared" si="3"/>
        <v>Previous year Order</v>
      </c>
      <c r="T15" s="4" t="str">
        <f t="shared" si="4"/>
        <v>Non Premium Product</v>
      </c>
      <c r="U15" s="4">
        <f t="shared" si="5"/>
        <v>0</v>
      </c>
    </row>
    <row r="16" spans="5:21" x14ac:dyDescent="0.3">
      <c r="E16" s="4" t="s">
        <v>232</v>
      </c>
      <c r="F16" s="8" t="s">
        <v>233</v>
      </c>
      <c r="G16" s="4" t="s">
        <v>234</v>
      </c>
      <c r="H16" s="4" t="s">
        <v>32</v>
      </c>
      <c r="I16" s="4" t="s">
        <v>16</v>
      </c>
      <c r="J16" s="4" t="s">
        <v>98</v>
      </c>
      <c r="K16" s="4">
        <v>5</v>
      </c>
      <c r="L16" s="4">
        <v>14277</v>
      </c>
      <c r="M16" s="4" t="s">
        <v>26</v>
      </c>
      <c r="N16" s="4" t="s">
        <v>41</v>
      </c>
      <c r="O16" s="4" t="s">
        <v>28</v>
      </c>
      <c r="P16" s="4">
        <f t="shared" si="0"/>
        <v>71385</v>
      </c>
      <c r="Q16" s="4" t="str">
        <f t="shared" si="1"/>
        <v>High</v>
      </c>
      <c r="R16" s="4">
        <f t="shared" si="2"/>
        <v>0</v>
      </c>
      <c r="S16" s="4" t="str">
        <f t="shared" si="3"/>
        <v>Previous year Order</v>
      </c>
      <c r="T16" s="4" t="str">
        <f t="shared" si="4"/>
        <v>Non Premium Product</v>
      </c>
      <c r="U16" s="4">
        <f t="shared" si="5"/>
        <v>0</v>
      </c>
    </row>
    <row r="17" spans="5:21" x14ac:dyDescent="0.3">
      <c r="E17" s="4" t="s">
        <v>276</v>
      </c>
      <c r="F17" s="8" t="s">
        <v>260</v>
      </c>
      <c r="G17" s="4" t="s">
        <v>277</v>
      </c>
      <c r="H17" s="4" t="s">
        <v>32</v>
      </c>
      <c r="I17" s="4" t="s">
        <v>24</v>
      </c>
      <c r="J17" s="4" t="s">
        <v>81</v>
      </c>
      <c r="K17" s="4">
        <v>6</v>
      </c>
      <c r="L17" s="4">
        <v>3216</v>
      </c>
      <c r="M17" s="4" t="s">
        <v>82</v>
      </c>
      <c r="N17" s="4" t="s">
        <v>74</v>
      </c>
      <c r="O17" s="4" t="s">
        <v>28</v>
      </c>
      <c r="P17" s="4">
        <f t="shared" si="0"/>
        <v>19296</v>
      </c>
      <c r="Q17" s="4" t="str">
        <f t="shared" si="1"/>
        <v>Less</v>
      </c>
      <c r="R17" s="4">
        <f t="shared" si="2"/>
        <v>0</v>
      </c>
      <c r="S17" s="4" t="str">
        <f t="shared" si="3"/>
        <v>Previous year Order</v>
      </c>
      <c r="T17" s="4" t="str">
        <f t="shared" si="4"/>
        <v>Non Premium Product</v>
      </c>
      <c r="U17" s="4">
        <f t="shared" si="5"/>
        <v>0</v>
      </c>
    </row>
    <row r="18" spans="5:21" x14ac:dyDescent="0.3">
      <c r="E18" s="4" t="s">
        <v>254</v>
      </c>
      <c r="F18" s="8" t="s">
        <v>209</v>
      </c>
      <c r="G18" s="4" t="s">
        <v>255</v>
      </c>
      <c r="H18" s="4" t="s">
        <v>32</v>
      </c>
      <c r="I18" s="4" t="s">
        <v>16</v>
      </c>
      <c r="J18" s="4" t="s">
        <v>17</v>
      </c>
      <c r="K18" s="4">
        <v>3</v>
      </c>
      <c r="L18" s="4">
        <v>8499</v>
      </c>
      <c r="M18" s="4" t="s">
        <v>34</v>
      </c>
      <c r="N18" s="4" t="s">
        <v>19</v>
      </c>
      <c r="O18" s="4" t="s">
        <v>28</v>
      </c>
      <c r="P18" s="4">
        <f t="shared" si="0"/>
        <v>25497</v>
      </c>
      <c r="Q18" s="4" t="str">
        <f t="shared" si="1"/>
        <v>High</v>
      </c>
      <c r="R18" s="4">
        <f t="shared" si="2"/>
        <v>0</v>
      </c>
      <c r="S18" s="4" t="str">
        <f t="shared" si="3"/>
        <v>Previous year Order</v>
      </c>
      <c r="T18" s="4" t="str">
        <f t="shared" si="4"/>
        <v>Non Premium Product</v>
      </c>
      <c r="U18" s="4">
        <f t="shared" si="5"/>
        <v>0</v>
      </c>
    </row>
    <row r="19" spans="5:21" x14ac:dyDescent="0.3">
      <c r="E19" s="4" t="s">
        <v>106</v>
      </c>
      <c r="F19" s="8" t="s">
        <v>107</v>
      </c>
      <c r="G19" s="4" t="s">
        <v>108</v>
      </c>
      <c r="H19" s="4" t="s">
        <v>32</v>
      </c>
      <c r="I19" s="4" t="s">
        <v>24</v>
      </c>
      <c r="J19" s="4" t="s">
        <v>73</v>
      </c>
      <c r="K19" s="4">
        <v>6</v>
      </c>
      <c r="L19" s="4">
        <v>42404</v>
      </c>
      <c r="M19" s="4" t="s">
        <v>82</v>
      </c>
      <c r="N19" s="4" t="s">
        <v>41</v>
      </c>
      <c r="O19" s="4" t="s">
        <v>20</v>
      </c>
      <c r="P19" s="4">
        <f t="shared" si="0"/>
        <v>254424</v>
      </c>
      <c r="Q19" s="4" t="str">
        <f t="shared" si="1"/>
        <v>High</v>
      </c>
      <c r="R19" s="4">
        <f t="shared" si="2"/>
        <v>0</v>
      </c>
      <c r="S19" s="4" t="str">
        <f t="shared" si="3"/>
        <v>Previous year Order</v>
      </c>
      <c r="T19" s="4" t="str">
        <f t="shared" si="4"/>
        <v>Non Premium Product</v>
      </c>
      <c r="U19" s="4">
        <f t="shared" si="5"/>
        <v>0</v>
      </c>
    </row>
    <row r="20" spans="5:21" x14ac:dyDescent="0.3">
      <c r="E20" s="4" t="s">
        <v>131</v>
      </c>
      <c r="F20" s="8" t="s">
        <v>132</v>
      </c>
      <c r="G20" s="4" t="s">
        <v>133</v>
      </c>
      <c r="H20" s="4" t="s">
        <v>53</v>
      </c>
      <c r="I20" s="4" t="s">
        <v>16</v>
      </c>
      <c r="J20" s="4" t="s">
        <v>48</v>
      </c>
      <c r="K20" s="4">
        <v>2</v>
      </c>
      <c r="L20" s="4">
        <v>14536</v>
      </c>
      <c r="M20" s="4" t="s">
        <v>18</v>
      </c>
      <c r="N20" s="4" t="s">
        <v>74</v>
      </c>
      <c r="O20" s="4" t="s">
        <v>49</v>
      </c>
      <c r="P20" s="4">
        <f t="shared" si="0"/>
        <v>29072</v>
      </c>
      <c r="Q20" s="4" t="str">
        <f t="shared" si="1"/>
        <v>High</v>
      </c>
      <c r="R20" s="4">
        <f t="shared" si="2"/>
        <v>0</v>
      </c>
      <c r="S20" s="4" t="str">
        <f t="shared" si="3"/>
        <v>Previous year Order</v>
      </c>
      <c r="T20" s="4" t="str">
        <f t="shared" si="4"/>
        <v>Non Premium Product</v>
      </c>
      <c r="U20" s="4">
        <f t="shared" si="5"/>
        <v>0</v>
      </c>
    </row>
    <row r="21" spans="5:21" x14ac:dyDescent="0.3">
      <c r="E21" s="4" t="s">
        <v>83</v>
      </c>
      <c r="F21" s="8" t="s">
        <v>84</v>
      </c>
      <c r="G21" s="4" t="s">
        <v>85</v>
      </c>
      <c r="H21" s="4" t="s">
        <v>38</v>
      </c>
      <c r="I21" s="4" t="s">
        <v>39</v>
      </c>
      <c r="J21" s="4" t="s">
        <v>56</v>
      </c>
      <c r="K21" s="4">
        <v>2</v>
      </c>
      <c r="L21" s="4">
        <v>19147</v>
      </c>
      <c r="M21" s="4" t="s">
        <v>34</v>
      </c>
      <c r="N21" s="4" t="s">
        <v>74</v>
      </c>
      <c r="O21" s="4" t="s">
        <v>20</v>
      </c>
      <c r="P21" s="4">
        <f t="shared" si="0"/>
        <v>38294</v>
      </c>
      <c r="Q21" s="4" t="str">
        <f t="shared" si="1"/>
        <v>High</v>
      </c>
      <c r="R21" s="4">
        <f t="shared" si="2"/>
        <v>0</v>
      </c>
      <c r="S21" s="4" t="str">
        <f t="shared" si="3"/>
        <v>Previous year Order</v>
      </c>
      <c r="T21" s="4" t="str">
        <f t="shared" si="4"/>
        <v>Premium Product</v>
      </c>
      <c r="U21" s="4">
        <f t="shared" si="5"/>
        <v>0</v>
      </c>
    </row>
    <row r="22" spans="5:21" x14ac:dyDescent="0.3">
      <c r="E22" s="4" t="s">
        <v>275</v>
      </c>
      <c r="F22" s="8" t="s">
        <v>58</v>
      </c>
      <c r="G22" s="4" t="s">
        <v>85</v>
      </c>
      <c r="H22" s="4" t="s">
        <v>15</v>
      </c>
      <c r="I22" s="4" t="s">
        <v>39</v>
      </c>
      <c r="J22" s="4" t="s">
        <v>124</v>
      </c>
      <c r="K22" s="4">
        <v>4</v>
      </c>
      <c r="L22" s="4">
        <v>6152</v>
      </c>
      <c r="M22" s="4" t="s">
        <v>18</v>
      </c>
      <c r="N22" s="4" t="s">
        <v>27</v>
      </c>
      <c r="O22" s="4" t="s">
        <v>49</v>
      </c>
      <c r="P22" s="4">
        <f t="shared" si="0"/>
        <v>24608</v>
      </c>
      <c r="Q22" s="4" t="str">
        <f t="shared" si="1"/>
        <v>High</v>
      </c>
      <c r="R22" s="4">
        <f t="shared" si="2"/>
        <v>0</v>
      </c>
      <c r="S22" s="4" t="str">
        <f t="shared" si="3"/>
        <v>Previous year Order</v>
      </c>
      <c r="T22" s="4" t="str">
        <f t="shared" si="4"/>
        <v>Premium Product</v>
      </c>
      <c r="U22" s="4">
        <f t="shared" si="5"/>
        <v>0</v>
      </c>
    </row>
    <row r="23" spans="5:21" x14ac:dyDescent="0.3">
      <c r="E23" s="4" t="s">
        <v>282</v>
      </c>
      <c r="F23" s="8" t="s">
        <v>143</v>
      </c>
      <c r="G23" s="4" t="s">
        <v>283</v>
      </c>
      <c r="H23" s="4" t="s">
        <v>32</v>
      </c>
      <c r="I23" s="4" t="s">
        <v>39</v>
      </c>
      <c r="J23" s="4" t="s">
        <v>124</v>
      </c>
      <c r="K23" s="4">
        <v>2</v>
      </c>
      <c r="L23" s="4">
        <v>21606</v>
      </c>
      <c r="M23" s="4" t="s">
        <v>82</v>
      </c>
      <c r="N23" s="4" t="s">
        <v>19</v>
      </c>
      <c r="O23" s="4" t="s">
        <v>20</v>
      </c>
      <c r="P23" s="4">
        <f t="shared" si="0"/>
        <v>43212</v>
      </c>
      <c r="Q23" s="4" t="str">
        <f t="shared" si="1"/>
        <v>High</v>
      </c>
      <c r="R23" s="4">
        <f t="shared" si="2"/>
        <v>0</v>
      </c>
      <c r="S23" s="4" t="str">
        <f t="shared" si="3"/>
        <v>Previous year Order</v>
      </c>
      <c r="T23" s="4" t="str">
        <f t="shared" si="4"/>
        <v>Premium Product</v>
      </c>
      <c r="U23" s="4">
        <f t="shared" si="5"/>
        <v>0</v>
      </c>
    </row>
    <row r="24" spans="5:21" x14ac:dyDescent="0.3">
      <c r="E24" s="4" t="s">
        <v>35</v>
      </c>
      <c r="F24" s="8" t="s">
        <v>36</v>
      </c>
      <c r="G24" s="4" t="s">
        <v>37</v>
      </c>
      <c r="H24" s="4" t="s">
        <v>38</v>
      </c>
      <c r="I24" s="4" t="s">
        <v>39</v>
      </c>
      <c r="J24" s="4" t="s">
        <v>40</v>
      </c>
      <c r="K24" s="4">
        <v>1</v>
      </c>
      <c r="L24" s="4">
        <v>1315</v>
      </c>
      <c r="M24" s="4" t="s">
        <v>34</v>
      </c>
      <c r="N24" s="4" t="s">
        <v>41</v>
      </c>
      <c r="O24" s="4" t="s">
        <v>20</v>
      </c>
      <c r="P24" s="4">
        <f t="shared" si="0"/>
        <v>1315</v>
      </c>
      <c r="Q24" s="4" t="str">
        <f t="shared" si="1"/>
        <v>Less</v>
      </c>
      <c r="R24" s="4">
        <f t="shared" si="2"/>
        <v>0</v>
      </c>
      <c r="S24" s="4" t="str">
        <f t="shared" si="3"/>
        <v>Previous year Order</v>
      </c>
      <c r="T24" s="4" t="str">
        <f t="shared" si="4"/>
        <v>Non Premium Product</v>
      </c>
      <c r="U24" s="4">
        <f t="shared" si="5"/>
        <v>0</v>
      </c>
    </row>
    <row r="25" spans="5:21" x14ac:dyDescent="0.3">
      <c r="E25" s="4" t="s">
        <v>151</v>
      </c>
      <c r="F25" s="8" t="s">
        <v>140</v>
      </c>
      <c r="G25" s="4" t="s">
        <v>37</v>
      </c>
      <c r="H25" s="4" t="s">
        <v>38</v>
      </c>
      <c r="I25" s="4" t="s">
        <v>39</v>
      </c>
      <c r="J25" s="4" t="s">
        <v>40</v>
      </c>
      <c r="K25" s="4">
        <v>5</v>
      </c>
      <c r="L25" s="4">
        <v>6749</v>
      </c>
      <c r="M25" s="4" t="s">
        <v>26</v>
      </c>
      <c r="N25" s="4" t="s">
        <v>27</v>
      </c>
      <c r="O25" s="4" t="s">
        <v>20</v>
      </c>
      <c r="P25" s="4">
        <f t="shared" si="0"/>
        <v>33745</v>
      </c>
      <c r="Q25" s="4" t="str">
        <f t="shared" si="1"/>
        <v>High</v>
      </c>
      <c r="R25" s="4">
        <f t="shared" si="2"/>
        <v>0</v>
      </c>
      <c r="S25" s="4" t="str">
        <f t="shared" si="3"/>
        <v>Previous year Order</v>
      </c>
      <c r="T25" s="4" t="str">
        <f t="shared" si="4"/>
        <v>Premium Product</v>
      </c>
      <c r="U25" s="4">
        <f t="shared" si="5"/>
        <v>0</v>
      </c>
    </row>
    <row r="26" spans="5:21" x14ac:dyDescent="0.3">
      <c r="E26" s="4" t="s">
        <v>176</v>
      </c>
      <c r="F26" s="8" t="s">
        <v>13</v>
      </c>
      <c r="G26" s="4" t="s">
        <v>37</v>
      </c>
      <c r="H26" s="4" t="s">
        <v>32</v>
      </c>
      <c r="I26" s="4" t="s">
        <v>16</v>
      </c>
      <c r="J26" s="4" t="s">
        <v>102</v>
      </c>
      <c r="K26" s="4">
        <v>2</v>
      </c>
      <c r="L26" s="4">
        <v>24938</v>
      </c>
      <c r="M26" s="4" t="s">
        <v>82</v>
      </c>
      <c r="N26" s="4" t="s">
        <v>19</v>
      </c>
      <c r="O26" s="4" t="s">
        <v>49</v>
      </c>
      <c r="P26" s="4">
        <f t="shared" si="0"/>
        <v>49876</v>
      </c>
      <c r="Q26" s="4" t="str">
        <f t="shared" si="1"/>
        <v>High</v>
      </c>
      <c r="R26" s="4">
        <f t="shared" si="2"/>
        <v>0</v>
      </c>
      <c r="S26" s="4" t="str">
        <f t="shared" si="3"/>
        <v>Previous year Order</v>
      </c>
      <c r="T26" s="4" t="str">
        <f t="shared" si="4"/>
        <v>Non Premium Product</v>
      </c>
      <c r="U26" s="4">
        <f t="shared" si="5"/>
        <v>0</v>
      </c>
    </row>
    <row r="27" spans="5:21" x14ac:dyDescent="0.3">
      <c r="E27" s="4" t="s">
        <v>256</v>
      </c>
      <c r="F27" s="8" t="s">
        <v>257</v>
      </c>
      <c r="G27" s="4" t="s">
        <v>37</v>
      </c>
      <c r="H27" s="4" t="s">
        <v>53</v>
      </c>
      <c r="I27" s="4" t="s">
        <v>39</v>
      </c>
      <c r="J27" s="4" t="s">
        <v>70</v>
      </c>
      <c r="K27" s="4">
        <v>5</v>
      </c>
      <c r="L27" s="4">
        <v>19919</v>
      </c>
      <c r="M27" s="4" t="s">
        <v>34</v>
      </c>
      <c r="N27" s="4" t="s">
        <v>27</v>
      </c>
      <c r="O27" s="4" t="s">
        <v>49</v>
      </c>
      <c r="P27" s="4">
        <f t="shared" si="0"/>
        <v>99595</v>
      </c>
      <c r="Q27" s="4" t="str">
        <f t="shared" si="1"/>
        <v>High</v>
      </c>
      <c r="R27" s="4">
        <f t="shared" si="2"/>
        <v>0</v>
      </c>
      <c r="S27" s="4" t="str">
        <f t="shared" si="3"/>
        <v>Previous year Order</v>
      </c>
      <c r="T27" s="4" t="str">
        <f t="shared" si="4"/>
        <v>Premium Product</v>
      </c>
      <c r="U27" s="4">
        <f t="shared" si="5"/>
        <v>0</v>
      </c>
    </row>
    <row r="28" spans="5:21" x14ac:dyDescent="0.3">
      <c r="E28" s="4" t="s">
        <v>204</v>
      </c>
      <c r="F28" s="8" t="s">
        <v>146</v>
      </c>
      <c r="G28" s="4" t="s">
        <v>205</v>
      </c>
      <c r="H28" s="4" t="s">
        <v>38</v>
      </c>
      <c r="I28" s="4" t="s">
        <v>39</v>
      </c>
      <c r="J28" s="4" t="s">
        <v>40</v>
      </c>
      <c r="K28" s="4">
        <v>1</v>
      </c>
      <c r="L28" s="4">
        <v>16609</v>
      </c>
      <c r="M28" s="4" t="s">
        <v>18</v>
      </c>
      <c r="N28" s="4" t="s">
        <v>27</v>
      </c>
      <c r="O28" s="4" t="s">
        <v>28</v>
      </c>
      <c r="P28" s="4">
        <f t="shared" si="0"/>
        <v>16609</v>
      </c>
      <c r="Q28" s="4" t="str">
        <f t="shared" si="1"/>
        <v>Less</v>
      </c>
      <c r="R28" s="4">
        <f t="shared" si="2"/>
        <v>0</v>
      </c>
      <c r="S28" s="4" t="str">
        <f t="shared" si="3"/>
        <v>Previous year Order</v>
      </c>
      <c r="T28" s="4" t="str">
        <f t="shared" si="4"/>
        <v>Premium Product</v>
      </c>
      <c r="U28" s="4">
        <f t="shared" si="5"/>
        <v>0</v>
      </c>
    </row>
    <row r="29" spans="5:21" x14ac:dyDescent="0.3">
      <c r="E29" s="4" t="s">
        <v>179</v>
      </c>
      <c r="F29" s="8" t="s">
        <v>87</v>
      </c>
      <c r="G29" s="4" t="s">
        <v>180</v>
      </c>
      <c r="H29" s="4" t="s">
        <v>32</v>
      </c>
      <c r="I29" s="4" t="s">
        <v>24</v>
      </c>
      <c r="J29" s="4" t="s">
        <v>73</v>
      </c>
      <c r="K29" s="4">
        <v>2</v>
      </c>
      <c r="L29" s="4">
        <v>17167</v>
      </c>
      <c r="M29" s="4" t="s">
        <v>82</v>
      </c>
      <c r="N29" s="4" t="s">
        <v>19</v>
      </c>
      <c r="O29" s="4" t="s">
        <v>49</v>
      </c>
      <c r="P29" s="4">
        <f t="shared" si="0"/>
        <v>34334</v>
      </c>
      <c r="Q29" s="4" t="str">
        <f t="shared" si="1"/>
        <v>High</v>
      </c>
      <c r="R29" s="4">
        <f t="shared" si="2"/>
        <v>0</v>
      </c>
      <c r="S29" s="4" t="str">
        <f t="shared" si="3"/>
        <v>Previous year Order</v>
      </c>
      <c r="T29" s="4" t="str">
        <f t="shared" si="4"/>
        <v>Non Premium Product</v>
      </c>
      <c r="U29" s="4">
        <f t="shared" si="5"/>
        <v>0</v>
      </c>
    </row>
    <row r="30" spans="5:21" x14ac:dyDescent="0.3">
      <c r="E30" s="4" t="s">
        <v>134</v>
      </c>
      <c r="F30" s="8" t="s">
        <v>135</v>
      </c>
      <c r="G30" s="4" t="s">
        <v>136</v>
      </c>
      <c r="H30" s="4" t="s">
        <v>38</v>
      </c>
      <c r="I30" s="4" t="s">
        <v>39</v>
      </c>
      <c r="J30" s="4" t="s">
        <v>56</v>
      </c>
      <c r="K30" s="4">
        <v>3</v>
      </c>
      <c r="L30" s="4">
        <v>23021</v>
      </c>
      <c r="M30" s="4" t="s">
        <v>26</v>
      </c>
      <c r="N30" s="4" t="s">
        <v>19</v>
      </c>
      <c r="O30" s="4" t="s">
        <v>28</v>
      </c>
      <c r="P30" s="4">
        <f t="shared" si="0"/>
        <v>69063</v>
      </c>
      <c r="Q30" s="4" t="str">
        <f t="shared" si="1"/>
        <v>High</v>
      </c>
      <c r="R30" s="4">
        <f t="shared" si="2"/>
        <v>0</v>
      </c>
      <c r="S30" s="4" t="str">
        <f t="shared" si="3"/>
        <v>Previous year Order</v>
      </c>
      <c r="T30" s="4" t="str">
        <f t="shared" si="4"/>
        <v>Premium Product</v>
      </c>
      <c r="U30" s="4">
        <f t="shared" si="5"/>
        <v>0</v>
      </c>
    </row>
    <row r="31" spans="5:21" x14ac:dyDescent="0.3">
      <c r="E31" s="4" t="s">
        <v>253</v>
      </c>
      <c r="F31" s="8" t="s">
        <v>140</v>
      </c>
      <c r="G31" s="4" t="s">
        <v>136</v>
      </c>
      <c r="H31" s="4" t="s">
        <v>38</v>
      </c>
      <c r="I31" s="4" t="s">
        <v>39</v>
      </c>
      <c r="J31" s="4" t="s">
        <v>40</v>
      </c>
      <c r="K31" s="4">
        <v>2</v>
      </c>
      <c r="L31" s="4">
        <v>24106</v>
      </c>
      <c r="M31" s="4" t="s">
        <v>26</v>
      </c>
      <c r="N31" s="4" t="s">
        <v>27</v>
      </c>
      <c r="O31" s="4" t="s">
        <v>49</v>
      </c>
      <c r="P31" s="4">
        <f t="shared" si="0"/>
        <v>48212</v>
      </c>
      <c r="Q31" s="4" t="str">
        <f t="shared" si="1"/>
        <v>High</v>
      </c>
      <c r="R31" s="4">
        <f t="shared" si="2"/>
        <v>0</v>
      </c>
      <c r="S31" s="4" t="str">
        <f t="shared" si="3"/>
        <v>Previous year Order</v>
      </c>
      <c r="T31" s="4" t="str">
        <f t="shared" si="4"/>
        <v>Premium Product</v>
      </c>
      <c r="U31" s="4">
        <f t="shared" si="5"/>
        <v>0</v>
      </c>
    </row>
    <row r="32" spans="5:21" x14ac:dyDescent="0.3">
      <c r="E32" s="4" t="s">
        <v>145</v>
      </c>
      <c r="F32" s="8" t="s">
        <v>146</v>
      </c>
      <c r="G32" s="4" t="s">
        <v>147</v>
      </c>
      <c r="H32" s="4" t="s">
        <v>15</v>
      </c>
      <c r="I32" s="4" t="s">
        <v>16</v>
      </c>
      <c r="J32" s="4" t="s">
        <v>67</v>
      </c>
      <c r="K32" s="4">
        <v>1</v>
      </c>
      <c r="L32" s="4">
        <v>8092</v>
      </c>
      <c r="M32" s="4" t="s">
        <v>34</v>
      </c>
      <c r="N32" s="4" t="s">
        <v>19</v>
      </c>
      <c r="O32" s="4" t="s">
        <v>20</v>
      </c>
      <c r="P32" s="4">
        <f t="shared" si="0"/>
        <v>8092</v>
      </c>
      <c r="Q32" s="4" t="str">
        <f t="shared" si="1"/>
        <v>Less</v>
      </c>
      <c r="R32" s="4">
        <f t="shared" si="2"/>
        <v>0</v>
      </c>
      <c r="S32" s="4" t="str">
        <f t="shared" si="3"/>
        <v>Previous year Order</v>
      </c>
      <c r="T32" s="4" t="str">
        <f t="shared" si="4"/>
        <v>Non Premium Product</v>
      </c>
      <c r="U32" s="4">
        <f t="shared" si="5"/>
        <v>0</v>
      </c>
    </row>
    <row r="33" spans="5:21" x14ac:dyDescent="0.3">
      <c r="E33" s="4" t="s">
        <v>57</v>
      </c>
      <c r="F33" s="8" t="s">
        <v>58</v>
      </c>
      <c r="G33" s="4" t="s">
        <v>59</v>
      </c>
      <c r="H33" s="4" t="s">
        <v>53</v>
      </c>
      <c r="I33" s="4" t="s">
        <v>24</v>
      </c>
      <c r="J33" s="4" t="s">
        <v>60</v>
      </c>
      <c r="K33" s="4">
        <v>4</v>
      </c>
      <c r="L33" s="4">
        <v>23244</v>
      </c>
      <c r="M33" s="4" t="s">
        <v>26</v>
      </c>
      <c r="N33" s="4" t="s">
        <v>41</v>
      </c>
      <c r="O33" s="4" t="s">
        <v>49</v>
      </c>
      <c r="P33" s="4">
        <f t="shared" si="0"/>
        <v>92976</v>
      </c>
      <c r="Q33" s="4" t="str">
        <f t="shared" si="1"/>
        <v>High</v>
      </c>
      <c r="R33" s="4">
        <f t="shared" si="2"/>
        <v>0</v>
      </c>
      <c r="S33" s="4" t="str">
        <f t="shared" si="3"/>
        <v>Previous year Order</v>
      </c>
      <c r="T33" s="4" t="str">
        <f t="shared" si="4"/>
        <v>Non Premium Product</v>
      </c>
      <c r="U33" s="4">
        <f t="shared" si="5"/>
        <v>0</v>
      </c>
    </row>
    <row r="34" spans="5:21" x14ac:dyDescent="0.3">
      <c r="E34" s="4" t="s">
        <v>221</v>
      </c>
      <c r="F34" s="8" t="s">
        <v>129</v>
      </c>
      <c r="G34" s="4" t="s">
        <v>222</v>
      </c>
      <c r="H34" s="4" t="s">
        <v>15</v>
      </c>
      <c r="I34" s="4" t="s">
        <v>16</v>
      </c>
      <c r="J34" s="4" t="s">
        <v>102</v>
      </c>
      <c r="K34" s="4">
        <v>2</v>
      </c>
      <c r="L34" s="4">
        <v>27547</v>
      </c>
      <c r="M34" s="4" t="s">
        <v>26</v>
      </c>
      <c r="N34" s="4" t="s">
        <v>19</v>
      </c>
      <c r="O34" s="4" t="s">
        <v>49</v>
      </c>
      <c r="P34" s="4">
        <f t="shared" si="0"/>
        <v>55094</v>
      </c>
      <c r="Q34" s="4" t="str">
        <f t="shared" si="1"/>
        <v>High</v>
      </c>
      <c r="R34" s="4">
        <f t="shared" si="2"/>
        <v>0</v>
      </c>
      <c r="S34" s="4" t="str">
        <f t="shared" si="3"/>
        <v>Previous year Order</v>
      </c>
      <c r="T34" s="4" t="str">
        <f t="shared" si="4"/>
        <v>Non Premium Product</v>
      </c>
      <c r="U34" s="4">
        <f t="shared" si="5"/>
        <v>0</v>
      </c>
    </row>
    <row r="35" spans="5:21" x14ac:dyDescent="0.3">
      <c r="E35" s="4" t="s">
        <v>211</v>
      </c>
      <c r="F35" s="8" t="s">
        <v>212</v>
      </c>
      <c r="G35" s="4" t="s">
        <v>213</v>
      </c>
      <c r="H35" s="4" t="s">
        <v>38</v>
      </c>
      <c r="I35" s="4" t="s">
        <v>24</v>
      </c>
      <c r="J35" s="4" t="s">
        <v>33</v>
      </c>
      <c r="K35" s="4">
        <v>2</v>
      </c>
      <c r="L35" s="4">
        <v>46966</v>
      </c>
      <c r="M35" s="4" t="s">
        <v>34</v>
      </c>
      <c r="N35" s="4" t="s">
        <v>74</v>
      </c>
      <c r="O35" s="4" t="s">
        <v>28</v>
      </c>
      <c r="P35" s="4">
        <f t="shared" si="0"/>
        <v>93932</v>
      </c>
      <c r="Q35" s="4" t="str">
        <f t="shared" si="1"/>
        <v>High</v>
      </c>
      <c r="R35" s="4">
        <f t="shared" si="2"/>
        <v>0</v>
      </c>
      <c r="S35" s="4" t="str">
        <f t="shared" si="3"/>
        <v>Previous year Order</v>
      </c>
      <c r="T35" s="4" t="str">
        <f t="shared" si="4"/>
        <v>Non Premium Product</v>
      </c>
      <c r="U35" s="4">
        <f t="shared" si="5"/>
        <v>0</v>
      </c>
    </row>
    <row r="36" spans="5:21" x14ac:dyDescent="0.3">
      <c r="E36" s="4" t="s">
        <v>196</v>
      </c>
      <c r="F36" s="8" t="s">
        <v>197</v>
      </c>
      <c r="G36" s="4" t="s">
        <v>198</v>
      </c>
      <c r="H36" s="4" t="s">
        <v>15</v>
      </c>
      <c r="I36" s="4" t="s">
        <v>24</v>
      </c>
      <c r="J36" s="4" t="s">
        <v>60</v>
      </c>
      <c r="K36" s="4">
        <v>6</v>
      </c>
      <c r="L36" s="4">
        <v>49603</v>
      </c>
      <c r="M36" s="4" t="s">
        <v>64</v>
      </c>
      <c r="N36" s="4" t="s">
        <v>74</v>
      </c>
      <c r="O36" s="4" t="s">
        <v>20</v>
      </c>
      <c r="P36" s="4">
        <f t="shared" si="0"/>
        <v>297618</v>
      </c>
      <c r="Q36" s="4" t="str">
        <f t="shared" si="1"/>
        <v>High</v>
      </c>
      <c r="R36" s="4">
        <f t="shared" si="2"/>
        <v>0</v>
      </c>
      <c r="S36" s="4" t="str">
        <f t="shared" si="3"/>
        <v>Previous year Order</v>
      </c>
      <c r="T36" s="4" t="str">
        <f t="shared" si="4"/>
        <v>Non Premium Product</v>
      </c>
      <c r="U36" s="4">
        <f t="shared" si="5"/>
        <v>0</v>
      </c>
    </row>
    <row r="37" spans="5:21" x14ac:dyDescent="0.3">
      <c r="E37" s="4" t="s">
        <v>75</v>
      </c>
      <c r="F37" s="8" t="s">
        <v>76</v>
      </c>
      <c r="G37" s="4" t="s">
        <v>77</v>
      </c>
      <c r="H37" s="4" t="s">
        <v>53</v>
      </c>
      <c r="I37" s="4" t="s">
        <v>24</v>
      </c>
      <c r="J37" s="4" t="s">
        <v>73</v>
      </c>
      <c r="K37" s="4">
        <v>4</v>
      </c>
      <c r="L37" s="4">
        <v>10776</v>
      </c>
      <c r="M37" s="4" t="s">
        <v>26</v>
      </c>
      <c r="N37" s="4" t="s">
        <v>41</v>
      </c>
      <c r="O37" s="4" t="s">
        <v>49</v>
      </c>
      <c r="P37" s="4">
        <f t="shared" si="0"/>
        <v>43104</v>
      </c>
      <c r="Q37" s="4" t="str">
        <f t="shared" si="1"/>
        <v>High</v>
      </c>
      <c r="R37" s="4">
        <f t="shared" si="2"/>
        <v>0</v>
      </c>
      <c r="S37" s="4" t="str">
        <f t="shared" si="3"/>
        <v>Previous year Order</v>
      </c>
      <c r="T37" s="4" t="str">
        <f t="shared" si="4"/>
        <v>Non Premium Product</v>
      </c>
      <c r="U37" s="4">
        <f t="shared" si="5"/>
        <v>0</v>
      </c>
    </row>
    <row r="38" spans="5:21" x14ac:dyDescent="0.3">
      <c r="E38" s="4" t="s">
        <v>181</v>
      </c>
      <c r="F38" s="8" t="s">
        <v>51</v>
      </c>
      <c r="G38" s="4" t="s">
        <v>77</v>
      </c>
      <c r="H38" s="4" t="s">
        <v>32</v>
      </c>
      <c r="I38" s="4" t="s">
        <v>39</v>
      </c>
      <c r="J38" s="4" t="s">
        <v>70</v>
      </c>
      <c r="K38" s="4">
        <v>6</v>
      </c>
      <c r="L38" s="4">
        <v>27502</v>
      </c>
      <c r="M38" s="4" t="s">
        <v>82</v>
      </c>
      <c r="N38" s="4" t="s">
        <v>19</v>
      </c>
      <c r="O38" s="4" t="s">
        <v>28</v>
      </c>
      <c r="P38" s="4">
        <f t="shared" si="0"/>
        <v>165012</v>
      </c>
      <c r="Q38" s="4" t="str">
        <f t="shared" si="1"/>
        <v>High</v>
      </c>
      <c r="R38" s="4">
        <f t="shared" si="2"/>
        <v>0</v>
      </c>
      <c r="S38" s="4" t="str">
        <f t="shared" si="3"/>
        <v>Previous year Order</v>
      </c>
      <c r="T38" s="4" t="str">
        <f t="shared" si="4"/>
        <v>Premium Product</v>
      </c>
      <c r="U38" s="4">
        <f t="shared" si="5"/>
        <v>0</v>
      </c>
    </row>
    <row r="39" spans="5:21" x14ac:dyDescent="0.3">
      <c r="E39" s="4" t="s">
        <v>226</v>
      </c>
      <c r="F39" s="8" t="s">
        <v>202</v>
      </c>
      <c r="G39" s="4" t="s">
        <v>77</v>
      </c>
      <c r="H39" s="4" t="s">
        <v>53</v>
      </c>
      <c r="I39" s="4" t="s">
        <v>24</v>
      </c>
      <c r="J39" s="4" t="s">
        <v>33</v>
      </c>
      <c r="K39" s="4">
        <v>4</v>
      </c>
      <c r="L39" s="4">
        <v>49747</v>
      </c>
      <c r="M39" s="4" t="s">
        <v>26</v>
      </c>
      <c r="N39" s="4" t="s">
        <v>74</v>
      </c>
      <c r="O39" s="4" t="s">
        <v>20</v>
      </c>
      <c r="P39" s="4">
        <f t="shared" si="0"/>
        <v>198988</v>
      </c>
      <c r="Q39" s="4" t="str">
        <f t="shared" si="1"/>
        <v>High</v>
      </c>
      <c r="R39" s="4">
        <f t="shared" si="2"/>
        <v>0</v>
      </c>
      <c r="S39" s="4" t="str">
        <f t="shared" si="3"/>
        <v>Previous year Order</v>
      </c>
      <c r="T39" s="4" t="str">
        <f t="shared" si="4"/>
        <v>Non Premium Product</v>
      </c>
      <c r="U39" s="4">
        <f t="shared" si="5"/>
        <v>0</v>
      </c>
    </row>
    <row r="40" spans="5:21" x14ac:dyDescent="0.3">
      <c r="E40" s="4" t="s">
        <v>186</v>
      </c>
      <c r="F40" s="8" t="s">
        <v>104</v>
      </c>
      <c r="G40" s="4" t="s">
        <v>187</v>
      </c>
      <c r="H40" s="4" t="s">
        <v>15</v>
      </c>
      <c r="I40" s="4" t="s">
        <v>24</v>
      </c>
      <c r="J40" s="4" t="s">
        <v>25</v>
      </c>
      <c r="K40" s="4">
        <v>1</v>
      </c>
      <c r="L40" s="4">
        <v>21605</v>
      </c>
      <c r="M40" s="4" t="s">
        <v>82</v>
      </c>
      <c r="N40" s="4" t="s">
        <v>41</v>
      </c>
      <c r="O40" s="4" t="s">
        <v>28</v>
      </c>
      <c r="P40" s="4">
        <f t="shared" si="0"/>
        <v>21605</v>
      </c>
      <c r="Q40" s="4" t="str">
        <f t="shared" si="1"/>
        <v>High</v>
      </c>
      <c r="R40" s="4">
        <f t="shared" si="2"/>
        <v>0</v>
      </c>
      <c r="S40" s="4" t="str">
        <f t="shared" si="3"/>
        <v>Previous year Order</v>
      </c>
      <c r="T40" s="4" t="str">
        <f t="shared" si="4"/>
        <v>Non Premium Product</v>
      </c>
      <c r="U40" s="4">
        <f t="shared" si="5"/>
        <v>0</v>
      </c>
    </row>
    <row r="41" spans="5:21" x14ac:dyDescent="0.3">
      <c r="E41" s="4" t="s">
        <v>112</v>
      </c>
      <c r="F41" s="8" t="s">
        <v>113</v>
      </c>
      <c r="G41" s="4" t="s">
        <v>114</v>
      </c>
      <c r="H41" s="4" t="s">
        <v>32</v>
      </c>
      <c r="I41" s="4" t="s">
        <v>24</v>
      </c>
      <c r="J41" s="4" t="s">
        <v>60</v>
      </c>
      <c r="K41" s="4">
        <v>4</v>
      </c>
      <c r="L41" s="4">
        <v>14683</v>
      </c>
      <c r="M41" s="4" t="s">
        <v>64</v>
      </c>
      <c r="N41" s="4" t="s">
        <v>19</v>
      </c>
      <c r="O41" s="4" t="s">
        <v>49</v>
      </c>
      <c r="P41" s="4">
        <f t="shared" si="0"/>
        <v>58732</v>
      </c>
      <c r="Q41" s="4" t="str">
        <f t="shared" si="1"/>
        <v>High</v>
      </c>
      <c r="R41" s="4">
        <f t="shared" si="2"/>
        <v>0</v>
      </c>
      <c r="S41" s="4" t="str">
        <f t="shared" si="3"/>
        <v>Previous year Order</v>
      </c>
      <c r="T41" s="4" t="str">
        <f t="shared" si="4"/>
        <v>Non Premium Product</v>
      </c>
      <c r="U41" s="4">
        <f t="shared" si="5"/>
        <v>0</v>
      </c>
    </row>
    <row r="42" spans="5:21" x14ac:dyDescent="0.3">
      <c r="E42" s="4" t="s">
        <v>247</v>
      </c>
      <c r="F42" s="8" t="s">
        <v>248</v>
      </c>
      <c r="G42" s="4" t="s">
        <v>114</v>
      </c>
      <c r="H42" s="4" t="s">
        <v>38</v>
      </c>
      <c r="I42" s="4" t="s">
        <v>24</v>
      </c>
      <c r="J42" s="4" t="s">
        <v>25</v>
      </c>
      <c r="K42" s="4">
        <v>1</v>
      </c>
      <c r="L42" s="4">
        <v>9014</v>
      </c>
      <c r="M42" s="4" t="s">
        <v>18</v>
      </c>
      <c r="N42" s="4" t="s">
        <v>74</v>
      </c>
      <c r="O42" s="4" t="s">
        <v>28</v>
      </c>
      <c r="P42" s="4">
        <f t="shared" si="0"/>
        <v>9014</v>
      </c>
      <c r="Q42" s="4" t="str">
        <f t="shared" si="1"/>
        <v>Less</v>
      </c>
      <c r="R42" s="4">
        <f t="shared" si="2"/>
        <v>0</v>
      </c>
      <c r="S42" s="4" t="str">
        <f t="shared" si="3"/>
        <v>Previous year Order</v>
      </c>
      <c r="T42" s="4" t="str">
        <f t="shared" si="4"/>
        <v>Non Premium Product</v>
      </c>
      <c r="U42" s="4">
        <f t="shared" si="5"/>
        <v>0</v>
      </c>
    </row>
    <row r="43" spans="5:21" x14ac:dyDescent="0.3">
      <c r="E43" s="4" t="s">
        <v>188</v>
      </c>
      <c r="F43" s="8" t="s">
        <v>163</v>
      </c>
      <c r="G43" s="4" t="s">
        <v>189</v>
      </c>
      <c r="H43" s="4" t="s">
        <v>32</v>
      </c>
      <c r="I43" s="4" t="s">
        <v>24</v>
      </c>
      <c r="J43" s="4" t="s">
        <v>81</v>
      </c>
      <c r="K43" s="4">
        <v>2</v>
      </c>
      <c r="L43" s="4">
        <v>40921</v>
      </c>
      <c r="M43" s="4" t="s">
        <v>18</v>
      </c>
      <c r="N43" s="4" t="s">
        <v>74</v>
      </c>
      <c r="O43" s="4" t="s">
        <v>49</v>
      </c>
      <c r="P43" s="4">
        <f t="shared" ref="P43:P74" si="6">K43*L43</f>
        <v>81842</v>
      </c>
      <c r="Q43" s="4" t="str">
        <f t="shared" si="1"/>
        <v>High</v>
      </c>
      <c r="R43" s="4">
        <f t="shared" si="2"/>
        <v>0</v>
      </c>
      <c r="S43" s="4" t="str">
        <f t="shared" si="3"/>
        <v>Previous year Order</v>
      </c>
      <c r="T43" s="4" t="str">
        <f t="shared" si="4"/>
        <v>Non Premium Product</v>
      </c>
      <c r="U43" s="4">
        <f t="shared" si="5"/>
        <v>0</v>
      </c>
    </row>
    <row r="44" spans="5:21" x14ac:dyDescent="0.3">
      <c r="E44" s="4" t="s">
        <v>95</v>
      </c>
      <c r="F44" s="8" t="s">
        <v>96</v>
      </c>
      <c r="G44" s="4" t="s">
        <v>97</v>
      </c>
      <c r="H44" s="4" t="s">
        <v>38</v>
      </c>
      <c r="I44" s="4" t="s">
        <v>16</v>
      </c>
      <c r="J44" s="4" t="s">
        <v>98</v>
      </c>
      <c r="K44" s="4">
        <v>1</v>
      </c>
      <c r="L44" s="4">
        <v>7202</v>
      </c>
      <c r="M44" s="4" t="s">
        <v>26</v>
      </c>
      <c r="N44" s="4" t="s">
        <v>27</v>
      </c>
      <c r="O44" s="4" t="s">
        <v>28</v>
      </c>
      <c r="P44" s="4">
        <f t="shared" si="6"/>
        <v>7202</v>
      </c>
      <c r="Q44" s="4" t="str">
        <f t="shared" si="1"/>
        <v>Less</v>
      </c>
      <c r="R44" s="4">
        <f t="shared" si="2"/>
        <v>0</v>
      </c>
      <c r="S44" s="4" t="str">
        <f t="shared" si="3"/>
        <v>Previous year Order</v>
      </c>
      <c r="T44" s="4" t="str">
        <f t="shared" si="4"/>
        <v>Non Premium Product</v>
      </c>
      <c r="U44" s="4">
        <f t="shared" si="5"/>
        <v>0</v>
      </c>
    </row>
    <row r="45" spans="5:21" x14ac:dyDescent="0.3">
      <c r="E45" s="4" t="s">
        <v>152</v>
      </c>
      <c r="F45" s="8" t="s">
        <v>146</v>
      </c>
      <c r="G45" s="4" t="s">
        <v>153</v>
      </c>
      <c r="H45" s="4" t="s">
        <v>38</v>
      </c>
      <c r="I45" s="4" t="s">
        <v>24</v>
      </c>
      <c r="J45" s="4" t="s">
        <v>60</v>
      </c>
      <c r="K45" s="4">
        <v>6</v>
      </c>
      <c r="L45" s="4">
        <v>11029</v>
      </c>
      <c r="M45" s="4" t="s">
        <v>82</v>
      </c>
      <c r="N45" s="4" t="s">
        <v>74</v>
      </c>
      <c r="O45" s="4" t="s">
        <v>28</v>
      </c>
      <c r="P45" s="4">
        <f t="shared" si="6"/>
        <v>66174</v>
      </c>
      <c r="Q45" s="4" t="str">
        <f t="shared" si="1"/>
        <v>High</v>
      </c>
      <c r="R45" s="4">
        <f t="shared" si="2"/>
        <v>0</v>
      </c>
      <c r="S45" s="4" t="str">
        <f t="shared" si="3"/>
        <v>Previous year Order</v>
      </c>
      <c r="T45" s="4" t="str">
        <f t="shared" si="4"/>
        <v>Non Premium Product</v>
      </c>
      <c r="U45" s="4">
        <f t="shared" si="5"/>
        <v>0</v>
      </c>
    </row>
    <row r="46" spans="5:21" x14ac:dyDescent="0.3">
      <c r="E46" s="4" t="s">
        <v>172</v>
      </c>
      <c r="F46" s="8" t="s">
        <v>173</v>
      </c>
      <c r="G46" s="4" t="s">
        <v>174</v>
      </c>
      <c r="H46" s="4" t="s">
        <v>32</v>
      </c>
      <c r="I46" s="4" t="s">
        <v>39</v>
      </c>
      <c r="J46" s="4" t="s">
        <v>175</v>
      </c>
      <c r="K46" s="4">
        <v>1</v>
      </c>
      <c r="L46" s="4">
        <v>19145</v>
      </c>
      <c r="M46" s="4" t="s">
        <v>18</v>
      </c>
      <c r="N46" s="4" t="s">
        <v>74</v>
      </c>
      <c r="O46" s="4" t="s">
        <v>49</v>
      </c>
      <c r="P46" s="4">
        <f t="shared" si="6"/>
        <v>19145</v>
      </c>
      <c r="Q46" s="4" t="str">
        <f t="shared" si="1"/>
        <v>Less</v>
      </c>
      <c r="R46" s="4">
        <f t="shared" si="2"/>
        <v>0</v>
      </c>
      <c r="S46" s="4" t="str">
        <f t="shared" si="3"/>
        <v>Previous year Order</v>
      </c>
      <c r="T46" s="4" t="str">
        <f t="shared" si="4"/>
        <v>Premium Product</v>
      </c>
      <c r="U46" s="4">
        <f t="shared" si="5"/>
        <v>0</v>
      </c>
    </row>
    <row r="47" spans="5:21" x14ac:dyDescent="0.3">
      <c r="E47" s="4" t="s">
        <v>269</v>
      </c>
      <c r="F47" s="8" t="s">
        <v>270</v>
      </c>
      <c r="G47" s="4" t="s">
        <v>271</v>
      </c>
      <c r="H47" s="4" t="s">
        <v>15</v>
      </c>
      <c r="I47" s="4" t="s">
        <v>24</v>
      </c>
      <c r="J47" s="4" t="s">
        <v>60</v>
      </c>
      <c r="K47" s="4">
        <v>1</v>
      </c>
      <c r="L47" s="4">
        <v>59549</v>
      </c>
      <c r="M47" s="4" t="s">
        <v>26</v>
      </c>
      <c r="N47" s="4" t="s">
        <v>41</v>
      </c>
      <c r="O47" s="4" t="s">
        <v>49</v>
      </c>
      <c r="P47" s="4">
        <f t="shared" si="6"/>
        <v>59549</v>
      </c>
      <c r="Q47" s="4" t="str">
        <f t="shared" si="1"/>
        <v>High</v>
      </c>
      <c r="R47" s="4">
        <f t="shared" si="2"/>
        <v>0</v>
      </c>
      <c r="S47" s="4" t="str">
        <f t="shared" si="3"/>
        <v>Previous year Order</v>
      </c>
      <c r="T47" s="4" t="str">
        <f t="shared" si="4"/>
        <v>Non Premium Product</v>
      </c>
      <c r="U47" s="4">
        <f t="shared" si="5"/>
        <v>0</v>
      </c>
    </row>
    <row r="48" spans="5:21" x14ac:dyDescent="0.3">
      <c r="E48" s="4" t="s">
        <v>122</v>
      </c>
      <c r="F48" s="8" t="s">
        <v>30</v>
      </c>
      <c r="G48" s="4" t="s">
        <v>123</v>
      </c>
      <c r="H48" s="4" t="s">
        <v>38</v>
      </c>
      <c r="I48" s="4" t="s">
        <v>39</v>
      </c>
      <c r="J48" s="4" t="s">
        <v>124</v>
      </c>
      <c r="K48" s="4">
        <v>6</v>
      </c>
      <c r="L48" s="4">
        <v>17582</v>
      </c>
      <c r="M48" s="4" t="s">
        <v>26</v>
      </c>
      <c r="N48" s="4" t="s">
        <v>19</v>
      </c>
      <c r="O48" s="4" t="s">
        <v>20</v>
      </c>
      <c r="P48" s="4">
        <f t="shared" si="6"/>
        <v>105492</v>
      </c>
      <c r="Q48" s="4" t="str">
        <f t="shared" si="1"/>
        <v>High</v>
      </c>
      <c r="R48" s="4">
        <f t="shared" si="2"/>
        <v>0</v>
      </c>
      <c r="S48" s="4" t="str">
        <f t="shared" si="3"/>
        <v>Previous year Order</v>
      </c>
      <c r="T48" s="4" t="str">
        <f t="shared" si="4"/>
        <v>Premium Product</v>
      </c>
      <c r="U48" s="4">
        <f t="shared" si="5"/>
        <v>0</v>
      </c>
    </row>
    <row r="49" spans="5:21" x14ac:dyDescent="0.3">
      <c r="E49" s="4" t="s">
        <v>251</v>
      </c>
      <c r="F49" s="8" t="s">
        <v>13</v>
      </c>
      <c r="G49" s="4" t="s">
        <v>252</v>
      </c>
      <c r="H49" s="4" t="s">
        <v>38</v>
      </c>
      <c r="I49" s="4" t="s">
        <v>16</v>
      </c>
      <c r="J49" s="4" t="s">
        <v>17</v>
      </c>
      <c r="K49" s="4">
        <v>5</v>
      </c>
      <c r="L49" s="4">
        <v>14164</v>
      </c>
      <c r="M49" s="4" t="s">
        <v>18</v>
      </c>
      <c r="N49" s="4" t="s">
        <v>41</v>
      </c>
      <c r="O49" s="4" t="s">
        <v>20</v>
      </c>
      <c r="P49" s="4">
        <f t="shared" si="6"/>
        <v>70820</v>
      </c>
      <c r="Q49" s="4" t="str">
        <f t="shared" si="1"/>
        <v>High</v>
      </c>
      <c r="R49" s="4">
        <f t="shared" si="2"/>
        <v>0</v>
      </c>
      <c r="S49" s="4" t="str">
        <f t="shared" si="3"/>
        <v>Previous year Order</v>
      </c>
      <c r="T49" s="4" t="str">
        <f t="shared" si="4"/>
        <v>Non Premium Product</v>
      </c>
      <c r="U49" s="4">
        <f t="shared" si="5"/>
        <v>0</v>
      </c>
    </row>
    <row r="50" spans="5:21" x14ac:dyDescent="0.3">
      <c r="E50" s="4" t="s">
        <v>54</v>
      </c>
      <c r="F50" s="8" t="s">
        <v>36</v>
      </c>
      <c r="G50" s="4" t="s">
        <v>55</v>
      </c>
      <c r="H50" s="4" t="s">
        <v>53</v>
      </c>
      <c r="I50" s="4" t="s">
        <v>39</v>
      </c>
      <c r="J50" s="4" t="s">
        <v>56</v>
      </c>
      <c r="K50" s="4">
        <v>4</v>
      </c>
      <c r="L50" s="4">
        <v>24702</v>
      </c>
      <c r="M50" s="4" t="s">
        <v>26</v>
      </c>
      <c r="N50" s="4" t="s">
        <v>41</v>
      </c>
      <c r="O50" s="4" t="s">
        <v>49</v>
      </c>
      <c r="P50" s="4">
        <f t="shared" si="6"/>
        <v>98808</v>
      </c>
      <c r="Q50" s="4" t="str">
        <f t="shared" si="1"/>
        <v>High</v>
      </c>
      <c r="R50" s="4">
        <f t="shared" si="2"/>
        <v>0</v>
      </c>
      <c r="S50" s="4" t="str">
        <f t="shared" si="3"/>
        <v>Previous year Order</v>
      </c>
      <c r="T50" s="4" t="str">
        <f t="shared" si="4"/>
        <v>Premium Product</v>
      </c>
      <c r="U50" s="4">
        <f t="shared" si="5"/>
        <v>0</v>
      </c>
    </row>
    <row r="51" spans="5:21" x14ac:dyDescent="0.3">
      <c r="E51" s="4" t="s">
        <v>103</v>
      </c>
      <c r="F51" s="8" t="s">
        <v>104</v>
      </c>
      <c r="G51" s="4" t="s">
        <v>105</v>
      </c>
      <c r="H51" s="4" t="s">
        <v>38</v>
      </c>
      <c r="I51" s="4" t="s">
        <v>24</v>
      </c>
      <c r="J51" s="4" t="s">
        <v>33</v>
      </c>
      <c r="K51" s="4">
        <v>6</v>
      </c>
      <c r="L51" s="4">
        <v>29010</v>
      </c>
      <c r="M51" s="4" t="s">
        <v>34</v>
      </c>
      <c r="N51" s="4" t="s">
        <v>19</v>
      </c>
      <c r="O51" s="4" t="s">
        <v>28</v>
      </c>
      <c r="P51" s="4">
        <f t="shared" si="6"/>
        <v>174060</v>
      </c>
      <c r="Q51" s="4" t="str">
        <f t="shared" si="1"/>
        <v>High</v>
      </c>
      <c r="R51" s="4">
        <f t="shared" si="2"/>
        <v>0</v>
      </c>
      <c r="S51" s="4" t="str">
        <f t="shared" si="3"/>
        <v>Previous year Order</v>
      </c>
      <c r="T51" s="4" t="str">
        <f t="shared" si="4"/>
        <v>Non Premium Product</v>
      </c>
      <c r="U51" s="4">
        <f t="shared" si="5"/>
        <v>0</v>
      </c>
    </row>
    <row r="52" spans="5:21" x14ac:dyDescent="0.3">
      <c r="E52" s="4" t="s">
        <v>137</v>
      </c>
      <c r="F52" s="8" t="s">
        <v>126</v>
      </c>
      <c r="G52" s="4" t="s">
        <v>138</v>
      </c>
      <c r="H52" s="4" t="s">
        <v>32</v>
      </c>
      <c r="I52" s="4" t="s">
        <v>24</v>
      </c>
      <c r="J52" s="4" t="s">
        <v>81</v>
      </c>
      <c r="K52" s="4">
        <v>6</v>
      </c>
      <c r="L52" s="4">
        <v>37986</v>
      </c>
      <c r="M52" s="4" t="s">
        <v>18</v>
      </c>
      <c r="N52" s="4" t="s">
        <v>74</v>
      </c>
      <c r="O52" s="4" t="s">
        <v>20</v>
      </c>
      <c r="P52" s="4">
        <f t="shared" si="6"/>
        <v>227916</v>
      </c>
      <c r="Q52" s="4" t="str">
        <f t="shared" si="1"/>
        <v>High</v>
      </c>
      <c r="R52" s="4">
        <f t="shared" si="2"/>
        <v>0</v>
      </c>
      <c r="S52" s="4" t="str">
        <f t="shared" si="3"/>
        <v>Previous year Order</v>
      </c>
      <c r="T52" s="4" t="str">
        <f t="shared" si="4"/>
        <v>Non Premium Product</v>
      </c>
      <c r="U52" s="4">
        <f t="shared" si="5"/>
        <v>0</v>
      </c>
    </row>
    <row r="53" spans="5:21" x14ac:dyDescent="0.3">
      <c r="E53" s="4" t="s">
        <v>45</v>
      </c>
      <c r="F53" s="8" t="s">
        <v>46</v>
      </c>
      <c r="G53" s="4" t="s">
        <v>47</v>
      </c>
      <c r="H53" s="4" t="s">
        <v>38</v>
      </c>
      <c r="I53" s="4" t="s">
        <v>16</v>
      </c>
      <c r="J53" s="4" t="s">
        <v>48</v>
      </c>
      <c r="K53" s="4">
        <v>2</v>
      </c>
      <c r="L53" s="4">
        <v>8491</v>
      </c>
      <c r="M53" s="4" t="s">
        <v>18</v>
      </c>
      <c r="N53" s="4" t="s">
        <v>19</v>
      </c>
      <c r="O53" s="4" t="s">
        <v>49</v>
      </c>
      <c r="P53" s="4">
        <f t="shared" si="6"/>
        <v>16982</v>
      </c>
      <c r="Q53" s="4" t="str">
        <f t="shared" si="1"/>
        <v>Less</v>
      </c>
      <c r="R53" s="4">
        <f t="shared" si="2"/>
        <v>0</v>
      </c>
      <c r="S53" s="4" t="str">
        <f t="shared" si="3"/>
        <v>Previous year Order</v>
      </c>
      <c r="T53" s="4" t="str">
        <f t="shared" si="4"/>
        <v>Non Premium Product</v>
      </c>
      <c r="U53" s="4">
        <f t="shared" si="5"/>
        <v>0</v>
      </c>
    </row>
    <row r="54" spans="5:21" x14ac:dyDescent="0.3">
      <c r="E54" s="4" t="s">
        <v>224</v>
      </c>
      <c r="F54" s="8" t="s">
        <v>110</v>
      </c>
      <c r="G54" s="4" t="s">
        <v>225</v>
      </c>
      <c r="H54" s="4" t="s">
        <v>15</v>
      </c>
      <c r="I54" s="4" t="s">
        <v>16</v>
      </c>
      <c r="J54" s="4" t="s">
        <v>48</v>
      </c>
      <c r="K54" s="4">
        <v>5</v>
      </c>
      <c r="L54" s="4">
        <v>24261</v>
      </c>
      <c r="M54" s="4" t="s">
        <v>82</v>
      </c>
      <c r="N54" s="4" t="s">
        <v>27</v>
      </c>
      <c r="O54" s="4" t="s">
        <v>49</v>
      </c>
      <c r="P54" s="4">
        <f t="shared" si="6"/>
        <v>121305</v>
      </c>
      <c r="Q54" s="4" t="str">
        <f t="shared" si="1"/>
        <v>High</v>
      </c>
      <c r="R54" s="4">
        <f t="shared" si="2"/>
        <v>0</v>
      </c>
      <c r="S54" s="4" t="str">
        <f t="shared" si="3"/>
        <v>Previous year Order</v>
      </c>
      <c r="T54" s="4" t="str">
        <f t="shared" si="4"/>
        <v>Non Premium Product</v>
      </c>
      <c r="U54" s="4">
        <f t="shared" si="5"/>
        <v>0</v>
      </c>
    </row>
    <row r="55" spans="5:21" x14ac:dyDescent="0.3">
      <c r="E55" s="4" t="s">
        <v>170</v>
      </c>
      <c r="F55" s="8" t="s">
        <v>96</v>
      </c>
      <c r="G55" s="4" t="s">
        <v>171</v>
      </c>
      <c r="H55" s="4" t="s">
        <v>53</v>
      </c>
      <c r="I55" s="4" t="s">
        <v>24</v>
      </c>
      <c r="J55" s="4" t="s">
        <v>60</v>
      </c>
      <c r="K55" s="4">
        <v>5</v>
      </c>
      <c r="L55" s="4">
        <v>5005</v>
      </c>
      <c r="M55" s="4" t="s">
        <v>82</v>
      </c>
      <c r="N55" s="4" t="s">
        <v>27</v>
      </c>
      <c r="O55" s="4" t="s">
        <v>20</v>
      </c>
      <c r="P55" s="4">
        <f t="shared" si="6"/>
        <v>25025</v>
      </c>
      <c r="Q55" s="4" t="str">
        <f t="shared" si="1"/>
        <v>High</v>
      </c>
      <c r="R55" s="4">
        <f t="shared" si="2"/>
        <v>0</v>
      </c>
      <c r="S55" s="4" t="str">
        <f t="shared" si="3"/>
        <v>Previous year Order</v>
      </c>
      <c r="T55" s="4" t="str">
        <f t="shared" si="4"/>
        <v>Non Premium Product</v>
      </c>
      <c r="U55" s="4">
        <f t="shared" si="5"/>
        <v>0</v>
      </c>
    </row>
    <row r="56" spans="5:21" x14ac:dyDescent="0.3">
      <c r="E56" s="4" t="s">
        <v>192</v>
      </c>
      <c r="F56" s="8" t="s">
        <v>22</v>
      </c>
      <c r="G56" s="4" t="s">
        <v>193</v>
      </c>
      <c r="H56" s="4" t="s">
        <v>53</v>
      </c>
      <c r="I56" s="4" t="s">
        <v>16</v>
      </c>
      <c r="J56" s="4" t="s">
        <v>102</v>
      </c>
      <c r="K56" s="4">
        <v>2</v>
      </c>
      <c r="L56" s="4">
        <v>24145</v>
      </c>
      <c r="M56" s="4" t="s">
        <v>64</v>
      </c>
      <c r="N56" s="4" t="s">
        <v>27</v>
      </c>
      <c r="O56" s="4" t="s">
        <v>20</v>
      </c>
      <c r="P56" s="4">
        <f t="shared" si="6"/>
        <v>48290</v>
      </c>
      <c r="Q56" s="4" t="str">
        <f t="shared" si="1"/>
        <v>High</v>
      </c>
      <c r="R56" s="4">
        <f t="shared" si="2"/>
        <v>0</v>
      </c>
      <c r="S56" s="4" t="str">
        <f t="shared" si="3"/>
        <v>Previous year Order</v>
      </c>
      <c r="T56" s="4" t="str">
        <f t="shared" si="4"/>
        <v>Non Premium Product</v>
      </c>
      <c r="U56" s="4">
        <f t="shared" si="5"/>
        <v>0</v>
      </c>
    </row>
    <row r="57" spans="5:21" x14ac:dyDescent="0.3">
      <c r="E57" s="4" t="s">
        <v>259</v>
      </c>
      <c r="F57" s="8" t="s">
        <v>260</v>
      </c>
      <c r="G57" s="4" t="s">
        <v>193</v>
      </c>
      <c r="H57" s="4" t="s">
        <v>38</v>
      </c>
      <c r="I57" s="4" t="s">
        <v>39</v>
      </c>
      <c r="J57" s="4" t="s">
        <v>56</v>
      </c>
      <c r="K57" s="4">
        <v>3</v>
      </c>
      <c r="L57" s="4">
        <v>25924</v>
      </c>
      <c r="M57" s="4" t="s">
        <v>64</v>
      </c>
      <c r="N57" s="4" t="s">
        <v>27</v>
      </c>
      <c r="O57" s="4" t="s">
        <v>49</v>
      </c>
      <c r="P57" s="4">
        <f t="shared" si="6"/>
        <v>77772</v>
      </c>
      <c r="Q57" s="4" t="str">
        <f t="shared" si="1"/>
        <v>High</v>
      </c>
      <c r="R57" s="4">
        <f t="shared" si="2"/>
        <v>0</v>
      </c>
      <c r="S57" s="4" t="str">
        <f t="shared" si="3"/>
        <v>Previous year Order</v>
      </c>
      <c r="T57" s="4" t="str">
        <f t="shared" si="4"/>
        <v>Premium Product</v>
      </c>
      <c r="U57" s="4">
        <f t="shared" si="5"/>
        <v>0</v>
      </c>
    </row>
    <row r="58" spans="5:21" x14ac:dyDescent="0.3">
      <c r="E58" s="4" t="s">
        <v>264</v>
      </c>
      <c r="F58" s="8" t="s">
        <v>197</v>
      </c>
      <c r="G58" s="4" t="s">
        <v>265</v>
      </c>
      <c r="H58" s="4" t="s">
        <v>53</v>
      </c>
      <c r="I58" s="4" t="s">
        <v>39</v>
      </c>
      <c r="J58" s="4" t="s">
        <v>70</v>
      </c>
      <c r="K58" s="4">
        <v>4</v>
      </c>
      <c r="L58" s="4">
        <v>24529</v>
      </c>
      <c r="M58" s="4" t="s">
        <v>34</v>
      </c>
      <c r="N58" s="4" t="s">
        <v>41</v>
      </c>
      <c r="O58" s="4" t="s">
        <v>49</v>
      </c>
      <c r="P58" s="4">
        <f t="shared" si="6"/>
        <v>98116</v>
      </c>
      <c r="Q58" s="4" t="str">
        <f t="shared" si="1"/>
        <v>High</v>
      </c>
      <c r="R58" s="4">
        <f t="shared" si="2"/>
        <v>0</v>
      </c>
      <c r="S58" s="4" t="str">
        <f t="shared" si="3"/>
        <v>Previous year Order</v>
      </c>
      <c r="T58" s="4" t="str">
        <f t="shared" si="4"/>
        <v>Premium Product</v>
      </c>
      <c r="U58" s="4">
        <f t="shared" si="5"/>
        <v>0</v>
      </c>
    </row>
    <row r="59" spans="5:21" x14ac:dyDescent="0.3">
      <c r="E59" s="4" t="s">
        <v>177</v>
      </c>
      <c r="F59" s="8" t="s">
        <v>129</v>
      </c>
      <c r="G59" s="4" t="s">
        <v>178</v>
      </c>
      <c r="H59" s="4" t="s">
        <v>15</v>
      </c>
      <c r="I59" s="4" t="s">
        <v>16</v>
      </c>
      <c r="J59" s="4" t="s">
        <v>98</v>
      </c>
      <c r="K59" s="4">
        <v>3</v>
      </c>
      <c r="L59" s="4">
        <v>23499</v>
      </c>
      <c r="M59" s="4" t="s">
        <v>18</v>
      </c>
      <c r="N59" s="4" t="s">
        <v>27</v>
      </c>
      <c r="O59" s="4" t="s">
        <v>20</v>
      </c>
      <c r="P59" s="4">
        <f t="shared" si="6"/>
        <v>70497</v>
      </c>
      <c r="Q59" s="4" t="str">
        <f t="shared" si="1"/>
        <v>High</v>
      </c>
      <c r="R59" s="4">
        <f t="shared" si="2"/>
        <v>0</v>
      </c>
      <c r="S59" s="4" t="str">
        <f t="shared" si="3"/>
        <v>Previous year Order</v>
      </c>
      <c r="T59" s="4" t="str">
        <f t="shared" si="4"/>
        <v>Non Premium Product</v>
      </c>
      <c r="U59" s="4">
        <f t="shared" si="5"/>
        <v>0</v>
      </c>
    </row>
    <row r="60" spans="5:21" x14ac:dyDescent="0.3">
      <c r="E60" s="4" t="s">
        <v>42</v>
      </c>
      <c r="F60" s="8" t="s">
        <v>43</v>
      </c>
      <c r="G60" s="4" t="s">
        <v>44</v>
      </c>
      <c r="H60" s="4" t="s">
        <v>15</v>
      </c>
      <c r="I60" s="4" t="s">
        <v>39</v>
      </c>
      <c r="J60" s="4" t="s">
        <v>40</v>
      </c>
      <c r="K60" s="4">
        <v>1</v>
      </c>
      <c r="L60" s="4">
        <v>17466</v>
      </c>
      <c r="M60" s="4" t="s">
        <v>18</v>
      </c>
      <c r="N60" s="4" t="s">
        <v>41</v>
      </c>
      <c r="O60" s="4" t="s">
        <v>20</v>
      </c>
      <c r="P60" s="4">
        <f t="shared" si="6"/>
        <v>17466</v>
      </c>
      <c r="Q60" s="4" t="str">
        <f t="shared" si="1"/>
        <v>Less</v>
      </c>
      <c r="R60" s="4">
        <f t="shared" si="2"/>
        <v>0</v>
      </c>
      <c r="S60" s="4" t="str">
        <f t="shared" si="3"/>
        <v>Previous year Order</v>
      </c>
      <c r="T60" s="4" t="str">
        <f t="shared" si="4"/>
        <v>Premium Product</v>
      </c>
      <c r="U60" s="4">
        <f t="shared" si="5"/>
        <v>0</v>
      </c>
    </row>
    <row r="61" spans="5:21" x14ac:dyDescent="0.3">
      <c r="E61" s="4" t="s">
        <v>216</v>
      </c>
      <c r="F61" s="8" t="s">
        <v>217</v>
      </c>
      <c r="G61" s="4" t="s">
        <v>218</v>
      </c>
      <c r="H61" s="4" t="s">
        <v>15</v>
      </c>
      <c r="I61" s="4" t="s">
        <v>24</v>
      </c>
      <c r="J61" s="4" t="s">
        <v>25</v>
      </c>
      <c r="K61" s="4">
        <v>6</v>
      </c>
      <c r="L61" s="4">
        <v>49168</v>
      </c>
      <c r="M61" s="4" t="s">
        <v>18</v>
      </c>
      <c r="N61" s="4" t="s">
        <v>41</v>
      </c>
      <c r="O61" s="4" t="s">
        <v>28</v>
      </c>
      <c r="P61" s="4">
        <f t="shared" si="6"/>
        <v>295008</v>
      </c>
      <c r="Q61" s="4" t="str">
        <f t="shared" si="1"/>
        <v>High</v>
      </c>
      <c r="R61" s="4">
        <f t="shared" si="2"/>
        <v>0</v>
      </c>
      <c r="S61" s="4" t="str">
        <f t="shared" si="3"/>
        <v>Previous year Order</v>
      </c>
      <c r="T61" s="4" t="str">
        <f t="shared" si="4"/>
        <v>Non Premium Product</v>
      </c>
      <c r="U61" s="4">
        <f t="shared" si="5"/>
        <v>0</v>
      </c>
    </row>
    <row r="62" spans="5:21" x14ac:dyDescent="0.3">
      <c r="E62" s="4" t="s">
        <v>68</v>
      </c>
      <c r="F62" s="8" t="s">
        <v>22</v>
      </c>
      <c r="G62" s="4" t="s">
        <v>69</v>
      </c>
      <c r="H62" s="4" t="s">
        <v>53</v>
      </c>
      <c r="I62" s="4" t="s">
        <v>39</v>
      </c>
      <c r="J62" s="4" t="s">
        <v>70</v>
      </c>
      <c r="K62" s="4">
        <v>2</v>
      </c>
      <c r="L62" s="4">
        <v>10588</v>
      </c>
      <c r="M62" s="4" t="s">
        <v>18</v>
      </c>
      <c r="N62" s="4" t="s">
        <v>27</v>
      </c>
      <c r="O62" s="4" t="s">
        <v>28</v>
      </c>
      <c r="P62" s="4">
        <f t="shared" si="6"/>
        <v>21176</v>
      </c>
      <c r="Q62" s="4" t="str">
        <f t="shared" si="1"/>
        <v>High</v>
      </c>
      <c r="R62" s="4">
        <f t="shared" si="2"/>
        <v>0</v>
      </c>
      <c r="S62" s="4" t="str">
        <f t="shared" si="3"/>
        <v>Previous year Order</v>
      </c>
      <c r="T62" s="4" t="str">
        <f t="shared" si="4"/>
        <v>Premium Product</v>
      </c>
      <c r="U62" s="4">
        <f t="shared" si="5"/>
        <v>0</v>
      </c>
    </row>
    <row r="63" spans="5:21" x14ac:dyDescent="0.3">
      <c r="E63" s="4" t="s">
        <v>240</v>
      </c>
      <c r="F63" s="8" t="s">
        <v>191</v>
      </c>
      <c r="G63" s="4" t="s">
        <v>241</v>
      </c>
      <c r="H63" s="4" t="s">
        <v>53</v>
      </c>
      <c r="I63" s="4" t="s">
        <v>39</v>
      </c>
      <c r="J63" s="4" t="s">
        <v>175</v>
      </c>
      <c r="K63" s="4">
        <v>1</v>
      </c>
      <c r="L63" s="4">
        <v>1122</v>
      </c>
      <c r="M63" s="4" t="s">
        <v>82</v>
      </c>
      <c r="N63" s="4" t="s">
        <v>19</v>
      </c>
      <c r="O63" s="4" t="s">
        <v>28</v>
      </c>
      <c r="P63" s="4">
        <f t="shared" si="6"/>
        <v>1122</v>
      </c>
      <c r="Q63" s="4" t="str">
        <f t="shared" si="1"/>
        <v>Less</v>
      </c>
      <c r="R63" s="4">
        <f t="shared" si="2"/>
        <v>5000</v>
      </c>
      <c r="S63" s="4" t="str">
        <f t="shared" si="3"/>
        <v>Previous year Order</v>
      </c>
      <c r="T63" s="4" t="str">
        <f t="shared" si="4"/>
        <v>Non Premium Product</v>
      </c>
      <c r="U63" s="4">
        <f t="shared" si="5"/>
        <v>0</v>
      </c>
    </row>
    <row r="64" spans="5:21" x14ac:dyDescent="0.3">
      <c r="E64" s="4" t="s">
        <v>92</v>
      </c>
      <c r="F64" s="8" t="s">
        <v>93</v>
      </c>
      <c r="G64" s="4" t="s">
        <v>94</v>
      </c>
      <c r="H64" s="4" t="s">
        <v>32</v>
      </c>
      <c r="I64" s="4" t="s">
        <v>39</v>
      </c>
      <c r="J64" s="4" t="s">
        <v>70</v>
      </c>
      <c r="K64" s="4">
        <v>4</v>
      </c>
      <c r="L64" s="4">
        <v>24289</v>
      </c>
      <c r="M64" s="4" t="s">
        <v>82</v>
      </c>
      <c r="N64" s="4" t="s">
        <v>19</v>
      </c>
      <c r="O64" s="4" t="s">
        <v>20</v>
      </c>
      <c r="P64" s="4">
        <f t="shared" si="6"/>
        <v>97156</v>
      </c>
      <c r="Q64" s="4" t="str">
        <f t="shared" si="1"/>
        <v>High</v>
      </c>
      <c r="R64" s="4">
        <f t="shared" si="2"/>
        <v>0</v>
      </c>
      <c r="S64" s="4" t="str">
        <f t="shared" si="3"/>
        <v>Previous year Order</v>
      </c>
      <c r="T64" s="4" t="str">
        <f t="shared" si="4"/>
        <v>Premium Product</v>
      </c>
      <c r="U64" s="4">
        <f t="shared" si="5"/>
        <v>0</v>
      </c>
    </row>
    <row r="65" spans="5:21" x14ac:dyDescent="0.3">
      <c r="E65" s="4" t="s">
        <v>223</v>
      </c>
      <c r="F65" s="8" t="s">
        <v>100</v>
      </c>
      <c r="G65" s="4" t="s">
        <v>94</v>
      </c>
      <c r="H65" s="4" t="s">
        <v>32</v>
      </c>
      <c r="I65" s="4" t="s">
        <v>16</v>
      </c>
      <c r="J65" s="4" t="s">
        <v>102</v>
      </c>
      <c r="K65" s="4">
        <v>4</v>
      </c>
      <c r="L65" s="4">
        <v>7811</v>
      </c>
      <c r="M65" s="4" t="s">
        <v>82</v>
      </c>
      <c r="N65" s="4" t="s">
        <v>27</v>
      </c>
      <c r="O65" s="4" t="s">
        <v>49</v>
      </c>
      <c r="P65" s="4">
        <f t="shared" si="6"/>
        <v>31244</v>
      </c>
      <c r="Q65" s="4" t="str">
        <f t="shared" si="1"/>
        <v>High</v>
      </c>
      <c r="R65" s="4">
        <f t="shared" si="2"/>
        <v>0</v>
      </c>
      <c r="S65" s="4" t="str">
        <f t="shared" si="3"/>
        <v>Previous year Order</v>
      </c>
      <c r="T65" s="4" t="str">
        <f t="shared" si="4"/>
        <v>Non Premium Product</v>
      </c>
      <c r="U65" s="4">
        <f t="shared" si="5"/>
        <v>0</v>
      </c>
    </row>
    <row r="66" spans="5:21" x14ac:dyDescent="0.3">
      <c r="E66" s="4" t="s">
        <v>165</v>
      </c>
      <c r="F66" s="8" t="s">
        <v>110</v>
      </c>
      <c r="G66" s="4" t="s">
        <v>166</v>
      </c>
      <c r="H66" s="4" t="s">
        <v>38</v>
      </c>
      <c r="I66" s="4" t="s">
        <v>16</v>
      </c>
      <c r="J66" s="4" t="s">
        <v>98</v>
      </c>
      <c r="K66" s="4">
        <v>4</v>
      </c>
      <c r="L66" s="4">
        <v>7695</v>
      </c>
      <c r="M66" s="4" t="s">
        <v>64</v>
      </c>
      <c r="N66" s="4" t="s">
        <v>19</v>
      </c>
      <c r="O66" s="4" t="s">
        <v>28</v>
      </c>
      <c r="P66" s="4">
        <f t="shared" si="6"/>
        <v>30780</v>
      </c>
      <c r="Q66" s="4" t="str">
        <f t="shared" si="1"/>
        <v>High</v>
      </c>
      <c r="R66" s="4">
        <f t="shared" si="2"/>
        <v>0</v>
      </c>
      <c r="S66" s="4" t="str">
        <f t="shared" si="3"/>
        <v>Previous year Order</v>
      </c>
      <c r="T66" s="4" t="str">
        <f t="shared" si="4"/>
        <v>Non Premium Product</v>
      </c>
      <c r="U66" s="4">
        <f t="shared" si="5"/>
        <v>0</v>
      </c>
    </row>
    <row r="67" spans="5:21" x14ac:dyDescent="0.3">
      <c r="E67" s="4" t="s">
        <v>190</v>
      </c>
      <c r="F67" s="8" t="s">
        <v>191</v>
      </c>
      <c r="G67" s="4" t="s">
        <v>166</v>
      </c>
      <c r="H67" s="4" t="s">
        <v>15</v>
      </c>
      <c r="I67" s="4" t="s">
        <v>39</v>
      </c>
      <c r="J67" s="4" t="s">
        <v>40</v>
      </c>
      <c r="K67" s="4">
        <v>2</v>
      </c>
      <c r="L67" s="4">
        <v>10631</v>
      </c>
      <c r="M67" s="4" t="s">
        <v>82</v>
      </c>
      <c r="N67" s="4" t="s">
        <v>19</v>
      </c>
      <c r="O67" s="4" t="s">
        <v>20</v>
      </c>
      <c r="P67" s="4">
        <f t="shared" si="6"/>
        <v>21262</v>
      </c>
      <c r="Q67" s="4" t="str">
        <f t="shared" si="1"/>
        <v>High</v>
      </c>
      <c r="R67" s="4">
        <f t="shared" si="2"/>
        <v>0</v>
      </c>
      <c r="S67" s="4" t="str">
        <f t="shared" si="3"/>
        <v>Previous year Order</v>
      </c>
      <c r="T67" s="4" t="str">
        <f t="shared" si="4"/>
        <v>Premium Product</v>
      </c>
      <c r="U67" s="4">
        <f t="shared" si="5"/>
        <v>0</v>
      </c>
    </row>
    <row r="68" spans="5:21" x14ac:dyDescent="0.3">
      <c r="E68" s="4" t="s">
        <v>266</v>
      </c>
      <c r="F68" s="8" t="s">
        <v>257</v>
      </c>
      <c r="G68" s="4" t="s">
        <v>267</v>
      </c>
      <c r="H68" s="4" t="s">
        <v>53</v>
      </c>
      <c r="I68" s="4" t="s">
        <v>24</v>
      </c>
      <c r="J68" s="4" t="s">
        <v>73</v>
      </c>
      <c r="K68" s="4">
        <v>2</v>
      </c>
      <c r="L68" s="4">
        <v>20104</v>
      </c>
      <c r="M68" s="4" t="s">
        <v>64</v>
      </c>
      <c r="N68" s="4" t="s">
        <v>74</v>
      </c>
      <c r="O68" s="4" t="s">
        <v>20</v>
      </c>
      <c r="P68" s="4">
        <f t="shared" si="6"/>
        <v>40208</v>
      </c>
      <c r="Q68" s="4" t="str">
        <f t="shared" si="1"/>
        <v>High</v>
      </c>
      <c r="R68" s="4">
        <f t="shared" si="2"/>
        <v>0</v>
      </c>
      <c r="S68" s="4" t="str">
        <f t="shared" si="3"/>
        <v>Previous year Order</v>
      </c>
      <c r="T68" s="4" t="str">
        <f t="shared" si="4"/>
        <v>Non Premium Product</v>
      </c>
      <c r="U68" s="4">
        <f t="shared" si="5"/>
        <v>0</v>
      </c>
    </row>
    <row r="69" spans="5:21" x14ac:dyDescent="0.3">
      <c r="E69" s="4" t="s">
        <v>50</v>
      </c>
      <c r="F69" s="8" t="s">
        <v>51</v>
      </c>
      <c r="G69" s="4" t="s">
        <v>52</v>
      </c>
      <c r="H69" s="4" t="s">
        <v>53</v>
      </c>
      <c r="I69" s="4" t="s">
        <v>16</v>
      </c>
      <c r="J69" s="4" t="s">
        <v>48</v>
      </c>
      <c r="K69" s="4">
        <v>1</v>
      </c>
      <c r="L69" s="4">
        <v>19016</v>
      </c>
      <c r="M69" s="4" t="s">
        <v>18</v>
      </c>
      <c r="N69" s="4" t="s">
        <v>27</v>
      </c>
      <c r="O69" s="4" t="s">
        <v>28</v>
      </c>
      <c r="P69" s="4">
        <f t="shared" si="6"/>
        <v>19016</v>
      </c>
      <c r="Q69" s="4" t="str">
        <f t="shared" si="1"/>
        <v>Less</v>
      </c>
      <c r="R69" s="4">
        <f t="shared" si="2"/>
        <v>0</v>
      </c>
      <c r="S69" s="4" t="str">
        <f t="shared" si="3"/>
        <v>Previous year Order</v>
      </c>
      <c r="T69" s="4" t="str">
        <f t="shared" si="4"/>
        <v>Non Premium Product</v>
      </c>
      <c r="U69" s="4">
        <f t="shared" si="5"/>
        <v>0</v>
      </c>
    </row>
    <row r="70" spans="5:21" x14ac:dyDescent="0.3">
      <c r="E70" s="4" t="s">
        <v>227</v>
      </c>
      <c r="F70" s="8" t="s">
        <v>228</v>
      </c>
      <c r="G70" s="4" t="s">
        <v>229</v>
      </c>
      <c r="H70" s="4" t="s">
        <v>32</v>
      </c>
      <c r="I70" s="4" t="s">
        <v>24</v>
      </c>
      <c r="J70" s="4" t="s">
        <v>81</v>
      </c>
      <c r="K70" s="4">
        <v>6</v>
      </c>
      <c r="L70" s="4">
        <v>36764</v>
      </c>
      <c r="M70" s="4" t="s">
        <v>64</v>
      </c>
      <c r="N70" s="4" t="s">
        <v>19</v>
      </c>
      <c r="O70" s="4" t="s">
        <v>20</v>
      </c>
      <c r="P70" s="4">
        <f t="shared" si="6"/>
        <v>220584</v>
      </c>
      <c r="Q70" s="4" t="str">
        <f t="shared" si="1"/>
        <v>High</v>
      </c>
      <c r="R70" s="4">
        <f t="shared" si="2"/>
        <v>0</v>
      </c>
      <c r="S70" s="4" t="str">
        <f t="shared" si="3"/>
        <v>Previous year Order</v>
      </c>
      <c r="T70" s="4" t="str">
        <f t="shared" si="4"/>
        <v>Non Premium Product</v>
      </c>
      <c r="U70" s="4">
        <f t="shared" si="5"/>
        <v>0</v>
      </c>
    </row>
    <row r="71" spans="5:21" x14ac:dyDescent="0.3">
      <c r="E71" s="4" t="s">
        <v>268</v>
      </c>
      <c r="F71" s="8" t="s">
        <v>191</v>
      </c>
      <c r="G71" s="4" t="s">
        <v>229</v>
      </c>
      <c r="H71" s="4" t="s">
        <v>32</v>
      </c>
      <c r="I71" s="4" t="s">
        <v>39</v>
      </c>
      <c r="J71" s="4" t="s">
        <v>40</v>
      </c>
      <c r="K71" s="4">
        <v>6</v>
      </c>
      <c r="L71" s="4">
        <v>25959</v>
      </c>
      <c r="M71" s="4" t="s">
        <v>82</v>
      </c>
      <c r="N71" s="4" t="s">
        <v>41</v>
      </c>
      <c r="O71" s="4" t="s">
        <v>49</v>
      </c>
      <c r="P71" s="4">
        <f t="shared" si="6"/>
        <v>155754</v>
      </c>
      <c r="Q71" s="4" t="str">
        <f t="shared" si="1"/>
        <v>High</v>
      </c>
      <c r="R71" s="4">
        <f t="shared" si="2"/>
        <v>0</v>
      </c>
      <c r="S71" s="4" t="str">
        <f t="shared" si="3"/>
        <v>Previous year Order</v>
      </c>
      <c r="T71" s="4" t="str">
        <f t="shared" si="4"/>
        <v>Premium Product</v>
      </c>
      <c r="U71" s="4">
        <f t="shared" si="5"/>
        <v>0</v>
      </c>
    </row>
    <row r="72" spans="5:21" x14ac:dyDescent="0.3">
      <c r="E72" s="4" t="s">
        <v>235</v>
      </c>
      <c r="F72" s="8" t="s">
        <v>13</v>
      </c>
      <c r="G72" s="4" t="s">
        <v>236</v>
      </c>
      <c r="H72" s="4" t="s">
        <v>15</v>
      </c>
      <c r="I72" s="4" t="s">
        <v>16</v>
      </c>
      <c r="J72" s="4" t="s">
        <v>98</v>
      </c>
      <c r="K72" s="4">
        <v>5</v>
      </c>
      <c r="L72" s="4">
        <v>12589</v>
      </c>
      <c r="M72" s="4" t="s">
        <v>26</v>
      </c>
      <c r="N72" s="4" t="s">
        <v>27</v>
      </c>
      <c r="O72" s="4" t="s">
        <v>28</v>
      </c>
      <c r="P72" s="4">
        <f t="shared" si="6"/>
        <v>62945</v>
      </c>
      <c r="Q72" s="4" t="str">
        <f t="shared" si="1"/>
        <v>High</v>
      </c>
      <c r="R72" s="4">
        <f t="shared" si="2"/>
        <v>0</v>
      </c>
      <c r="S72" s="4" t="str">
        <f t="shared" si="3"/>
        <v>Previous year Order</v>
      </c>
      <c r="T72" s="4" t="str">
        <f t="shared" si="4"/>
        <v>Non Premium Product</v>
      </c>
      <c r="U72" s="4">
        <f t="shared" si="5"/>
        <v>0</v>
      </c>
    </row>
    <row r="73" spans="5:21" x14ac:dyDescent="0.3">
      <c r="E73" s="4" t="s">
        <v>65</v>
      </c>
      <c r="F73" s="8" t="s">
        <v>30</v>
      </c>
      <c r="G73" s="4" t="s">
        <v>66</v>
      </c>
      <c r="H73" s="4" t="s">
        <v>15</v>
      </c>
      <c r="I73" s="4" t="s">
        <v>16</v>
      </c>
      <c r="J73" s="4" t="s">
        <v>67</v>
      </c>
      <c r="K73" s="4">
        <v>2</v>
      </c>
      <c r="L73" s="4">
        <v>19272</v>
      </c>
      <c r="M73" s="4" t="s">
        <v>18</v>
      </c>
      <c r="N73" s="4" t="s">
        <v>19</v>
      </c>
      <c r="O73" s="4" t="s">
        <v>49</v>
      </c>
      <c r="P73" s="4">
        <f t="shared" si="6"/>
        <v>38544</v>
      </c>
      <c r="Q73" s="4" t="str">
        <f t="shared" si="1"/>
        <v>High</v>
      </c>
      <c r="R73" s="4">
        <f t="shared" si="2"/>
        <v>0</v>
      </c>
      <c r="S73" s="4" t="str">
        <f t="shared" si="3"/>
        <v>Previous year Order</v>
      </c>
      <c r="T73" s="4" t="str">
        <f t="shared" si="4"/>
        <v>Non Premium Product</v>
      </c>
      <c r="U73" s="4">
        <f t="shared" si="5"/>
        <v>0</v>
      </c>
    </row>
    <row r="74" spans="5:21" x14ac:dyDescent="0.3">
      <c r="E74" s="4" t="s">
        <v>208</v>
      </c>
      <c r="F74" s="8" t="s">
        <v>209</v>
      </c>
      <c r="G74" s="4" t="s">
        <v>210</v>
      </c>
      <c r="H74" s="4" t="s">
        <v>53</v>
      </c>
      <c r="I74" s="4" t="s">
        <v>16</v>
      </c>
      <c r="J74" s="4" t="s">
        <v>17</v>
      </c>
      <c r="K74" s="4">
        <v>2</v>
      </c>
      <c r="L74" s="4">
        <v>23940</v>
      </c>
      <c r="M74" s="4" t="s">
        <v>64</v>
      </c>
      <c r="N74" s="4" t="s">
        <v>74</v>
      </c>
      <c r="O74" s="4" t="s">
        <v>20</v>
      </c>
      <c r="P74" s="4">
        <f t="shared" si="6"/>
        <v>47880</v>
      </c>
      <c r="Q74" s="4" t="str">
        <f t="shared" si="1"/>
        <v>High</v>
      </c>
      <c r="R74" s="4">
        <f t="shared" si="2"/>
        <v>0</v>
      </c>
      <c r="S74" s="4" t="str">
        <f t="shared" si="3"/>
        <v>Previous year Order</v>
      </c>
      <c r="T74" s="4" t="str">
        <f t="shared" si="4"/>
        <v>Non Premium Product</v>
      </c>
      <c r="U74" s="4">
        <f t="shared" si="5"/>
        <v>0</v>
      </c>
    </row>
    <row r="75" spans="5:21" x14ac:dyDescent="0.3">
      <c r="E75" s="4" t="s">
        <v>89</v>
      </c>
      <c r="F75" s="8" t="s">
        <v>90</v>
      </c>
      <c r="G75" s="4" t="s">
        <v>91</v>
      </c>
      <c r="H75" s="4" t="s">
        <v>38</v>
      </c>
      <c r="I75" s="4" t="s">
        <v>16</v>
      </c>
      <c r="J75" s="4" t="s">
        <v>67</v>
      </c>
      <c r="K75" s="4">
        <v>1</v>
      </c>
      <c r="L75" s="4">
        <v>18023</v>
      </c>
      <c r="M75" s="4" t="s">
        <v>64</v>
      </c>
      <c r="N75" s="4" t="s">
        <v>19</v>
      </c>
      <c r="O75" s="4" t="s">
        <v>20</v>
      </c>
      <c r="P75" s="4">
        <f t="shared" ref="P75:P110" si="7">K75*L75</f>
        <v>18023</v>
      </c>
      <c r="Q75" s="4" t="str">
        <f t="shared" si="1"/>
        <v>Less</v>
      </c>
      <c r="R75" s="4">
        <f t="shared" si="2"/>
        <v>0</v>
      </c>
      <c r="S75" s="4" t="str">
        <f t="shared" si="3"/>
        <v>Previous year Order</v>
      </c>
      <c r="T75" s="4" t="str">
        <f t="shared" si="4"/>
        <v>Non Premium Product</v>
      </c>
      <c r="U75" s="4">
        <f t="shared" si="5"/>
        <v>0</v>
      </c>
    </row>
    <row r="76" spans="5:21" x14ac:dyDescent="0.3">
      <c r="E76" s="4" t="s">
        <v>148</v>
      </c>
      <c r="F76" s="8" t="s">
        <v>149</v>
      </c>
      <c r="G76" s="4" t="s">
        <v>150</v>
      </c>
      <c r="H76" s="4" t="s">
        <v>15</v>
      </c>
      <c r="I76" s="4" t="s">
        <v>16</v>
      </c>
      <c r="J76" s="4" t="s">
        <v>98</v>
      </c>
      <c r="K76" s="4">
        <v>5</v>
      </c>
      <c r="L76" s="4">
        <v>27827</v>
      </c>
      <c r="M76" s="4" t="s">
        <v>26</v>
      </c>
      <c r="N76" s="4" t="s">
        <v>41</v>
      </c>
      <c r="O76" s="4" t="s">
        <v>28</v>
      </c>
      <c r="P76" s="4">
        <f t="shared" si="7"/>
        <v>139135</v>
      </c>
      <c r="Q76" s="4" t="str">
        <f t="shared" ref="Q76:Q110" si="8">IF(P76&gt;20000,"High","Less")</f>
        <v>High</v>
      </c>
      <c r="R76" s="4">
        <f t="shared" ref="R76:R110" si="9">IF(AND(N76="A. Sharma",H76="North"),5000,0)</f>
        <v>0</v>
      </c>
      <c r="S76" s="4" t="str">
        <f t="shared" ref="S76:S110" si="10">IF(F76&gt;(DATE(2024,1,1)),"Previous year Order","NA")</f>
        <v>Previous year Order</v>
      </c>
      <c r="T76" s="4" t="str">
        <f t="shared" ref="T76:T110" si="11">IF(AND(I76="Furniture",L76&gt;1500),"Premium Product","Non Premium Product")</f>
        <v>Non Premium Product</v>
      </c>
      <c r="U76" s="4">
        <f t="shared" ref="U76:U110" si="12">IF(LEFT(G76,1)="S",500,0)</f>
        <v>0</v>
      </c>
    </row>
    <row r="77" spans="5:21" x14ac:dyDescent="0.3">
      <c r="E77" s="4" t="s">
        <v>119</v>
      </c>
      <c r="F77" s="8" t="s">
        <v>120</v>
      </c>
      <c r="G77" s="4" t="s">
        <v>121</v>
      </c>
      <c r="H77" s="4" t="s">
        <v>15</v>
      </c>
      <c r="I77" s="4" t="s">
        <v>16</v>
      </c>
      <c r="J77" s="4" t="s">
        <v>98</v>
      </c>
      <c r="K77" s="4">
        <v>5</v>
      </c>
      <c r="L77" s="4">
        <v>26474</v>
      </c>
      <c r="M77" s="4" t="s">
        <v>82</v>
      </c>
      <c r="N77" s="4" t="s">
        <v>41</v>
      </c>
      <c r="O77" s="4" t="s">
        <v>28</v>
      </c>
      <c r="P77" s="4">
        <f t="shared" si="7"/>
        <v>132370</v>
      </c>
      <c r="Q77" s="4" t="str">
        <f t="shared" si="8"/>
        <v>High</v>
      </c>
      <c r="R77" s="4">
        <f t="shared" si="9"/>
        <v>0</v>
      </c>
      <c r="S77" s="4" t="str">
        <f t="shared" si="10"/>
        <v>Previous year Order</v>
      </c>
      <c r="T77" s="4" t="str">
        <f t="shared" si="11"/>
        <v>Non Premium Product</v>
      </c>
      <c r="U77" s="4">
        <f t="shared" si="12"/>
        <v>0</v>
      </c>
    </row>
    <row r="78" spans="5:21" x14ac:dyDescent="0.3">
      <c r="E78" s="4" t="s">
        <v>242</v>
      </c>
      <c r="F78" s="8" t="s">
        <v>104</v>
      </c>
      <c r="G78" s="4" t="s">
        <v>243</v>
      </c>
      <c r="H78" s="4" t="s">
        <v>38</v>
      </c>
      <c r="I78" s="4" t="s">
        <v>39</v>
      </c>
      <c r="J78" s="4" t="s">
        <v>56</v>
      </c>
      <c r="K78" s="4">
        <v>2</v>
      </c>
      <c r="L78" s="4">
        <v>3711</v>
      </c>
      <c r="M78" s="4" t="s">
        <v>82</v>
      </c>
      <c r="N78" s="4" t="s">
        <v>19</v>
      </c>
      <c r="O78" s="4" t="s">
        <v>20</v>
      </c>
      <c r="P78" s="4">
        <f t="shared" si="7"/>
        <v>7422</v>
      </c>
      <c r="Q78" s="4" t="str">
        <f t="shared" si="8"/>
        <v>Less</v>
      </c>
      <c r="R78" s="4">
        <f t="shared" si="9"/>
        <v>0</v>
      </c>
      <c r="S78" s="4" t="str">
        <f t="shared" si="10"/>
        <v>Previous year Order</v>
      </c>
      <c r="T78" s="4" t="str">
        <f t="shared" si="11"/>
        <v>Premium Product</v>
      </c>
      <c r="U78" s="4">
        <f t="shared" si="12"/>
        <v>0</v>
      </c>
    </row>
    <row r="79" spans="5:21" x14ac:dyDescent="0.3">
      <c r="E79" s="4" t="s">
        <v>199</v>
      </c>
      <c r="F79" s="8" t="s">
        <v>168</v>
      </c>
      <c r="G79" s="4" t="s">
        <v>200</v>
      </c>
      <c r="H79" s="4" t="s">
        <v>38</v>
      </c>
      <c r="I79" s="4" t="s">
        <v>24</v>
      </c>
      <c r="J79" s="4" t="s">
        <v>60</v>
      </c>
      <c r="K79" s="4">
        <v>4</v>
      </c>
      <c r="L79" s="4">
        <v>59215</v>
      </c>
      <c r="M79" s="4" t="s">
        <v>18</v>
      </c>
      <c r="N79" s="4" t="s">
        <v>41</v>
      </c>
      <c r="O79" s="4" t="s">
        <v>28</v>
      </c>
      <c r="P79" s="4">
        <f t="shared" si="7"/>
        <v>236860</v>
      </c>
      <c r="Q79" s="4" t="str">
        <f t="shared" si="8"/>
        <v>High</v>
      </c>
      <c r="R79" s="4">
        <f t="shared" si="9"/>
        <v>0</v>
      </c>
      <c r="S79" s="4" t="str">
        <f t="shared" si="10"/>
        <v>Previous year Order</v>
      </c>
      <c r="T79" s="4" t="str">
        <f t="shared" si="11"/>
        <v>Non Premium Product</v>
      </c>
      <c r="U79" s="4">
        <f t="shared" si="12"/>
        <v>0</v>
      </c>
    </row>
    <row r="80" spans="5:21" x14ac:dyDescent="0.3">
      <c r="E80" s="4" t="s">
        <v>258</v>
      </c>
      <c r="F80" s="8" t="s">
        <v>228</v>
      </c>
      <c r="G80" s="4" t="s">
        <v>200</v>
      </c>
      <c r="H80" s="4" t="s">
        <v>38</v>
      </c>
      <c r="I80" s="4" t="s">
        <v>39</v>
      </c>
      <c r="J80" s="4" t="s">
        <v>175</v>
      </c>
      <c r="K80" s="4">
        <v>1</v>
      </c>
      <c r="L80" s="4">
        <v>5133</v>
      </c>
      <c r="M80" s="4" t="s">
        <v>82</v>
      </c>
      <c r="N80" s="4" t="s">
        <v>41</v>
      </c>
      <c r="O80" s="4" t="s">
        <v>49</v>
      </c>
      <c r="P80" s="4">
        <f t="shared" si="7"/>
        <v>5133</v>
      </c>
      <c r="Q80" s="4" t="str">
        <f t="shared" si="8"/>
        <v>Less</v>
      </c>
      <c r="R80" s="4">
        <f t="shared" si="9"/>
        <v>0</v>
      </c>
      <c r="S80" s="4" t="str">
        <f t="shared" si="10"/>
        <v>Previous year Order</v>
      </c>
      <c r="T80" s="4" t="str">
        <f t="shared" si="11"/>
        <v>Premium Product</v>
      </c>
      <c r="U80" s="4">
        <f t="shared" si="12"/>
        <v>0</v>
      </c>
    </row>
    <row r="81" spans="5:21" x14ac:dyDescent="0.3">
      <c r="E81" s="4" t="s">
        <v>99</v>
      </c>
      <c r="F81" s="8" t="s">
        <v>100</v>
      </c>
      <c r="G81" s="4" t="s">
        <v>101</v>
      </c>
      <c r="H81" s="4" t="s">
        <v>15</v>
      </c>
      <c r="I81" s="4" t="s">
        <v>16</v>
      </c>
      <c r="J81" s="4" t="s">
        <v>102</v>
      </c>
      <c r="K81" s="4">
        <v>1</v>
      </c>
      <c r="L81" s="4">
        <v>1760</v>
      </c>
      <c r="M81" s="4" t="s">
        <v>64</v>
      </c>
      <c r="N81" s="4" t="s">
        <v>27</v>
      </c>
      <c r="O81" s="4" t="s">
        <v>20</v>
      </c>
      <c r="P81" s="4">
        <f t="shared" si="7"/>
        <v>1760</v>
      </c>
      <c r="Q81" s="4" t="str">
        <f t="shared" si="8"/>
        <v>Less</v>
      </c>
      <c r="R81" s="4">
        <f t="shared" si="9"/>
        <v>0</v>
      </c>
      <c r="S81" s="4" t="str">
        <f t="shared" si="10"/>
        <v>Previous year Order</v>
      </c>
      <c r="T81" s="4" t="str">
        <f t="shared" si="11"/>
        <v>Non Premium Product</v>
      </c>
      <c r="U81" s="4">
        <f t="shared" si="12"/>
        <v>0</v>
      </c>
    </row>
    <row r="82" spans="5:21" x14ac:dyDescent="0.3">
      <c r="E82" s="4" t="s">
        <v>160</v>
      </c>
      <c r="F82" s="8" t="s">
        <v>22</v>
      </c>
      <c r="G82" s="4" t="s">
        <v>161</v>
      </c>
      <c r="H82" s="4" t="s">
        <v>32</v>
      </c>
      <c r="I82" s="4" t="s">
        <v>39</v>
      </c>
      <c r="J82" s="4" t="s">
        <v>56</v>
      </c>
      <c r="K82" s="4">
        <v>1</v>
      </c>
      <c r="L82" s="4">
        <v>26825</v>
      </c>
      <c r="M82" s="4" t="s">
        <v>34</v>
      </c>
      <c r="N82" s="4" t="s">
        <v>27</v>
      </c>
      <c r="O82" s="4" t="s">
        <v>49</v>
      </c>
      <c r="P82" s="4">
        <f t="shared" si="7"/>
        <v>26825</v>
      </c>
      <c r="Q82" s="4" t="str">
        <f t="shared" si="8"/>
        <v>High</v>
      </c>
      <c r="R82" s="4">
        <f t="shared" si="9"/>
        <v>0</v>
      </c>
      <c r="S82" s="4" t="str">
        <f t="shared" si="10"/>
        <v>Previous year Order</v>
      </c>
      <c r="T82" s="4" t="str">
        <f t="shared" si="11"/>
        <v>Premium Product</v>
      </c>
      <c r="U82" s="4">
        <f t="shared" si="12"/>
        <v>0</v>
      </c>
    </row>
    <row r="83" spans="5:21" x14ac:dyDescent="0.3">
      <c r="E83" s="4" t="s">
        <v>115</v>
      </c>
      <c r="F83" s="8" t="s">
        <v>90</v>
      </c>
      <c r="G83" s="4" t="s">
        <v>116</v>
      </c>
      <c r="H83" s="4" t="s">
        <v>15</v>
      </c>
      <c r="I83" s="4" t="s">
        <v>24</v>
      </c>
      <c r="J83" s="4" t="s">
        <v>25</v>
      </c>
      <c r="K83" s="4">
        <v>5</v>
      </c>
      <c r="L83" s="4">
        <v>44149</v>
      </c>
      <c r="M83" s="4" t="s">
        <v>26</v>
      </c>
      <c r="N83" s="4" t="s">
        <v>74</v>
      </c>
      <c r="O83" s="4" t="s">
        <v>49</v>
      </c>
      <c r="P83" s="4">
        <f t="shared" si="7"/>
        <v>220745</v>
      </c>
      <c r="Q83" s="4" t="str">
        <f t="shared" si="8"/>
        <v>High</v>
      </c>
      <c r="R83" s="4">
        <f t="shared" si="9"/>
        <v>0</v>
      </c>
      <c r="S83" s="4" t="str">
        <f t="shared" si="10"/>
        <v>Previous year Order</v>
      </c>
      <c r="T83" s="4" t="str">
        <f t="shared" si="11"/>
        <v>Non Premium Product</v>
      </c>
      <c r="U83" s="4">
        <f t="shared" si="12"/>
        <v>0</v>
      </c>
    </row>
    <row r="84" spans="5:21" x14ac:dyDescent="0.3">
      <c r="E84" s="4" t="s">
        <v>117</v>
      </c>
      <c r="F84" s="8" t="s">
        <v>62</v>
      </c>
      <c r="G84" s="4" t="s">
        <v>118</v>
      </c>
      <c r="H84" s="4" t="s">
        <v>15</v>
      </c>
      <c r="I84" s="4" t="s">
        <v>24</v>
      </c>
      <c r="J84" s="4" t="s">
        <v>60</v>
      </c>
      <c r="K84" s="4">
        <v>6</v>
      </c>
      <c r="L84" s="4">
        <v>42463</v>
      </c>
      <c r="M84" s="4" t="s">
        <v>34</v>
      </c>
      <c r="N84" s="4" t="s">
        <v>41</v>
      </c>
      <c r="O84" s="4" t="s">
        <v>49</v>
      </c>
      <c r="P84" s="4">
        <f t="shared" si="7"/>
        <v>254778</v>
      </c>
      <c r="Q84" s="4" t="str">
        <f t="shared" si="8"/>
        <v>High</v>
      </c>
      <c r="R84" s="4">
        <f t="shared" si="9"/>
        <v>0</v>
      </c>
      <c r="S84" s="4" t="str">
        <f t="shared" si="10"/>
        <v>Previous year Order</v>
      </c>
      <c r="T84" s="4" t="str">
        <f t="shared" si="11"/>
        <v>Non Premium Product</v>
      </c>
      <c r="U84" s="4">
        <f t="shared" si="12"/>
        <v>0</v>
      </c>
    </row>
    <row r="85" spans="5:21" x14ac:dyDescent="0.3">
      <c r="E85" s="4" t="s">
        <v>167</v>
      </c>
      <c r="F85" s="8" t="s">
        <v>168</v>
      </c>
      <c r="G85" s="4" t="s">
        <v>169</v>
      </c>
      <c r="H85" s="4" t="s">
        <v>32</v>
      </c>
      <c r="I85" s="4" t="s">
        <v>16</v>
      </c>
      <c r="J85" s="4" t="s">
        <v>102</v>
      </c>
      <c r="K85" s="4">
        <v>3</v>
      </c>
      <c r="L85" s="4">
        <v>21786</v>
      </c>
      <c r="M85" s="4" t="s">
        <v>26</v>
      </c>
      <c r="N85" s="4" t="s">
        <v>27</v>
      </c>
      <c r="O85" s="4" t="s">
        <v>20</v>
      </c>
      <c r="P85" s="4">
        <f t="shared" si="7"/>
        <v>65358</v>
      </c>
      <c r="Q85" s="4" t="str">
        <f t="shared" si="8"/>
        <v>High</v>
      </c>
      <c r="R85" s="4">
        <f t="shared" si="9"/>
        <v>0</v>
      </c>
      <c r="S85" s="4" t="str">
        <f t="shared" si="10"/>
        <v>Previous year Order</v>
      </c>
      <c r="T85" s="4" t="str">
        <f t="shared" si="11"/>
        <v>Non Premium Product</v>
      </c>
      <c r="U85" s="4">
        <f t="shared" si="12"/>
        <v>0</v>
      </c>
    </row>
    <row r="86" spans="5:21" x14ac:dyDescent="0.3">
      <c r="E86" s="4" t="s">
        <v>194</v>
      </c>
      <c r="F86" s="8" t="s">
        <v>163</v>
      </c>
      <c r="G86" s="4" t="s">
        <v>195</v>
      </c>
      <c r="H86" s="4" t="s">
        <v>15</v>
      </c>
      <c r="I86" s="4" t="s">
        <v>39</v>
      </c>
      <c r="J86" s="4" t="s">
        <v>56</v>
      </c>
      <c r="K86" s="4">
        <v>3</v>
      </c>
      <c r="L86" s="4">
        <v>18678</v>
      </c>
      <c r="M86" s="4" t="s">
        <v>34</v>
      </c>
      <c r="N86" s="4" t="s">
        <v>74</v>
      </c>
      <c r="O86" s="4" t="s">
        <v>49</v>
      </c>
      <c r="P86" s="4">
        <f t="shared" si="7"/>
        <v>56034</v>
      </c>
      <c r="Q86" s="4" t="str">
        <f t="shared" si="8"/>
        <v>High</v>
      </c>
      <c r="R86" s="4">
        <f t="shared" si="9"/>
        <v>0</v>
      </c>
      <c r="S86" s="4" t="str">
        <f t="shared" si="10"/>
        <v>Previous year Order</v>
      </c>
      <c r="T86" s="4" t="str">
        <f t="shared" si="11"/>
        <v>Premium Product</v>
      </c>
      <c r="U86" s="4">
        <f t="shared" si="12"/>
        <v>0</v>
      </c>
    </row>
    <row r="87" spans="5:21" x14ac:dyDescent="0.3">
      <c r="E87" s="4" t="s">
        <v>249</v>
      </c>
      <c r="F87" s="8" t="s">
        <v>250</v>
      </c>
      <c r="G87" s="4" t="s">
        <v>195</v>
      </c>
      <c r="H87" s="4" t="s">
        <v>38</v>
      </c>
      <c r="I87" s="4" t="s">
        <v>16</v>
      </c>
      <c r="J87" s="4" t="s">
        <v>102</v>
      </c>
      <c r="K87" s="4">
        <v>2</v>
      </c>
      <c r="L87" s="4">
        <v>26424</v>
      </c>
      <c r="M87" s="4" t="s">
        <v>26</v>
      </c>
      <c r="N87" s="4" t="s">
        <v>74</v>
      </c>
      <c r="O87" s="4" t="s">
        <v>49</v>
      </c>
      <c r="P87" s="4">
        <f t="shared" si="7"/>
        <v>52848</v>
      </c>
      <c r="Q87" s="4" t="str">
        <f t="shared" si="8"/>
        <v>High</v>
      </c>
      <c r="R87" s="4">
        <f t="shared" si="9"/>
        <v>0</v>
      </c>
      <c r="S87" s="4" t="str">
        <f t="shared" si="10"/>
        <v>Previous year Order</v>
      </c>
      <c r="T87" s="4" t="str">
        <f t="shared" si="11"/>
        <v>Non Premium Product</v>
      </c>
      <c r="U87" s="4">
        <f t="shared" si="12"/>
        <v>0</v>
      </c>
    </row>
    <row r="88" spans="5:21" x14ac:dyDescent="0.3">
      <c r="E88" s="4" t="s">
        <v>157</v>
      </c>
      <c r="F88" s="8" t="s">
        <v>158</v>
      </c>
      <c r="G88" s="4" t="s">
        <v>159</v>
      </c>
      <c r="H88" s="4" t="s">
        <v>53</v>
      </c>
      <c r="I88" s="4" t="s">
        <v>16</v>
      </c>
      <c r="J88" s="4" t="s">
        <v>48</v>
      </c>
      <c r="K88" s="4">
        <v>3</v>
      </c>
      <c r="L88" s="4">
        <v>3028</v>
      </c>
      <c r="M88" s="4" t="s">
        <v>18</v>
      </c>
      <c r="N88" s="4" t="s">
        <v>19</v>
      </c>
      <c r="O88" s="4" t="s">
        <v>28</v>
      </c>
      <c r="P88" s="4">
        <f t="shared" si="7"/>
        <v>9084</v>
      </c>
      <c r="Q88" s="4" t="str">
        <f t="shared" si="8"/>
        <v>Less</v>
      </c>
      <c r="R88" s="4">
        <f t="shared" si="9"/>
        <v>5000</v>
      </c>
      <c r="S88" s="4" t="str">
        <f t="shared" si="10"/>
        <v>Previous year Order</v>
      </c>
      <c r="T88" s="4" t="str">
        <f t="shared" si="11"/>
        <v>Non Premium Product</v>
      </c>
      <c r="U88" s="4">
        <f t="shared" si="12"/>
        <v>0</v>
      </c>
    </row>
    <row r="89" spans="5:21" x14ac:dyDescent="0.3">
      <c r="E89" s="4" t="s">
        <v>139</v>
      </c>
      <c r="F89" s="8" t="s">
        <v>140</v>
      </c>
      <c r="G89" s="4" t="s">
        <v>141</v>
      </c>
      <c r="H89" s="4" t="s">
        <v>15</v>
      </c>
      <c r="I89" s="4" t="s">
        <v>24</v>
      </c>
      <c r="J89" s="4" t="s">
        <v>81</v>
      </c>
      <c r="K89" s="4">
        <v>6</v>
      </c>
      <c r="L89" s="4">
        <v>41326</v>
      </c>
      <c r="M89" s="4" t="s">
        <v>18</v>
      </c>
      <c r="N89" s="4" t="s">
        <v>41</v>
      </c>
      <c r="O89" s="4" t="s">
        <v>20</v>
      </c>
      <c r="P89" s="4">
        <f t="shared" si="7"/>
        <v>247956</v>
      </c>
      <c r="Q89" s="4" t="str">
        <f t="shared" si="8"/>
        <v>High</v>
      </c>
      <c r="R89" s="4">
        <f t="shared" si="9"/>
        <v>0</v>
      </c>
      <c r="S89" s="4" t="str">
        <f t="shared" si="10"/>
        <v>Previous year Order</v>
      </c>
      <c r="T89" s="4" t="str">
        <f t="shared" si="11"/>
        <v>Non Premium Product</v>
      </c>
      <c r="U89" s="4">
        <f t="shared" si="12"/>
        <v>0</v>
      </c>
    </row>
    <row r="90" spans="5:21" x14ac:dyDescent="0.3">
      <c r="E90" s="4" t="s">
        <v>78</v>
      </c>
      <c r="F90" s="8" t="s">
        <v>79</v>
      </c>
      <c r="G90" s="4" t="s">
        <v>80</v>
      </c>
      <c r="H90" s="4" t="s">
        <v>38</v>
      </c>
      <c r="I90" s="4" t="s">
        <v>24</v>
      </c>
      <c r="J90" s="4" t="s">
        <v>81</v>
      </c>
      <c r="K90" s="4">
        <v>2</v>
      </c>
      <c r="L90" s="4">
        <v>32108</v>
      </c>
      <c r="M90" s="4" t="s">
        <v>82</v>
      </c>
      <c r="N90" s="4" t="s">
        <v>41</v>
      </c>
      <c r="O90" s="4" t="s">
        <v>28</v>
      </c>
      <c r="P90" s="4">
        <f t="shared" si="7"/>
        <v>64216</v>
      </c>
      <c r="Q90" s="4" t="str">
        <f t="shared" si="8"/>
        <v>High</v>
      </c>
      <c r="R90" s="4">
        <f t="shared" si="9"/>
        <v>0</v>
      </c>
      <c r="S90" s="4" t="str">
        <f t="shared" si="10"/>
        <v>Previous year Order</v>
      </c>
      <c r="T90" s="4" t="str">
        <f t="shared" si="11"/>
        <v>Non Premium Product</v>
      </c>
      <c r="U90" s="4">
        <f t="shared" si="12"/>
        <v>0</v>
      </c>
    </row>
    <row r="91" spans="5:21" x14ac:dyDescent="0.3">
      <c r="E91" s="4" t="s">
        <v>182</v>
      </c>
      <c r="F91" s="8" t="s">
        <v>113</v>
      </c>
      <c r="G91" s="4" t="s">
        <v>183</v>
      </c>
      <c r="H91" s="4" t="s">
        <v>53</v>
      </c>
      <c r="I91" s="4" t="s">
        <v>24</v>
      </c>
      <c r="J91" s="4" t="s">
        <v>73</v>
      </c>
      <c r="K91" s="4">
        <v>2</v>
      </c>
      <c r="L91" s="4">
        <v>1827</v>
      </c>
      <c r="M91" s="4" t="s">
        <v>64</v>
      </c>
      <c r="N91" s="4" t="s">
        <v>74</v>
      </c>
      <c r="O91" s="4" t="s">
        <v>20</v>
      </c>
      <c r="P91" s="4">
        <f t="shared" si="7"/>
        <v>3654</v>
      </c>
      <c r="Q91" s="4" t="str">
        <f t="shared" si="8"/>
        <v>Less</v>
      </c>
      <c r="R91" s="4">
        <f t="shared" si="9"/>
        <v>0</v>
      </c>
      <c r="S91" s="4" t="str">
        <f t="shared" si="10"/>
        <v>Previous year Order</v>
      </c>
      <c r="T91" s="4" t="str">
        <f t="shared" si="11"/>
        <v>Non Premium Product</v>
      </c>
      <c r="U91" s="4">
        <f t="shared" si="12"/>
        <v>0</v>
      </c>
    </row>
    <row r="92" spans="5:21" x14ac:dyDescent="0.3">
      <c r="E92" s="4" t="s">
        <v>244</v>
      </c>
      <c r="F92" s="8" t="s">
        <v>245</v>
      </c>
      <c r="G92" s="4" t="s">
        <v>246</v>
      </c>
      <c r="H92" s="4" t="s">
        <v>53</v>
      </c>
      <c r="I92" s="4" t="s">
        <v>16</v>
      </c>
      <c r="J92" s="4" t="s">
        <v>102</v>
      </c>
      <c r="K92" s="4">
        <v>2</v>
      </c>
      <c r="L92" s="4">
        <v>25085</v>
      </c>
      <c r="M92" s="4" t="s">
        <v>82</v>
      </c>
      <c r="N92" s="4" t="s">
        <v>41</v>
      </c>
      <c r="O92" s="4" t="s">
        <v>28</v>
      </c>
      <c r="P92" s="4">
        <f t="shared" si="7"/>
        <v>50170</v>
      </c>
      <c r="Q92" s="4" t="str">
        <f t="shared" si="8"/>
        <v>High</v>
      </c>
      <c r="R92" s="4">
        <f t="shared" si="9"/>
        <v>0</v>
      </c>
      <c r="S92" s="4" t="str">
        <f t="shared" si="10"/>
        <v>Previous year Order</v>
      </c>
      <c r="T92" s="4" t="str">
        <f t="shared" si="11"/>
        <v>Non Premium Product</v>
      </c>
      <c r="U92" s="4">
        <f t="shared" si="12"/>
        <v>0</v>
      </c>
    </row>
    <row r="93" spans="5:21" x14ac:dyDescent="0.3">
      <c r="E93" s="4" t="s">
        <v>230</v>
      </c>
      <c r="F93" s="8" t="s">
        <v>132</v>
      </c>
      <c r="G93" s="4" t="s">
        <v>231</v>
      </c>
      <c r="H93" s="4" t="s">
        <v>15</v>
      </c>
      <c r="I93" s="4" t="s">
        <v>39</v>
      </c>
      <c r="J93" s="4" t="s">
        <v>175</v>
      </c>
      <c r="K93" s="4">
        <v>6</v>
      </c>
      <c r="L93" s="4">
        <v>19244</v>
      </c>
      <c r="M93" s="4" t="s">
        <v>34</v>
      </c>
      <c r="N93" s="4" t="s">
        <v>41</v>
      </c>
      <c r="O93" s="4" t="s">
        <v>28</v>
      </c>
      <c r="P93" s="4">
        <f t="shared" si="7"/>
        <v>115464</v>
      </c>
      <c r="Q93" s="4" t="str">
        <f t="shared" si="8"/>
        <v>High</v>
      </c>
      <c r="R93" s="4">
        <f t="shared" si="9"/>
        <v>0</v>
      </c>
      <c r="S93" s="4" t="str">
        <f t="shared" si="10"/>
        <v>Previous year Order</v>
      </c>
      <c r="T93" s="4" t="str">
        <f t="shared" si="11"/>
        <v>Premium Product</v>
      </c>
      <c r="U93" s="4">
        <f t="shared" si="12"/>
        <v>0</v>
      </c>
    </row>
    <row r="94" spans="5:21" x14ac:dyDescent="0.3">
      <c r="E94" s="4" t="s">
        <v>261</v>
      </c>
      <c r="F94" s="8" t="s">
        <v>262</v>
      </c>
      <c r="G94" s="4" t="s">
        <v>263</v>
      </c>
      <c r="H94" s="4" t="s">
        <v>15</v>
      </c>
      <c r="I94" s="4" t="s">
        <v>16</v>
      </c>
      <c r="J94" s="4" t="s">
        <v>98</v>
      </c>
      <c r="K94" s="4">
        <v>2</v>
      </c>
      <c r="L94" s="4">
        <v>16406</v>
      </c>
      <c r="M94" s="4" t="s">
        <v>26</v>
      </c>
      <c r="N94" s="4" t="s">
        <v>74</v>
      </c>
      <c r="O94" s="4" t="s">
        <v>20</v>
      </c>
      <c r="P94" s="4">
        <f t="shared" si="7"/>
        <v>32812</v>
      </c>
      <c r="Q94" s="4" t="str">
        <f t="shared" si="8"/>
        <v>High</v>
      </c>
      <c r="R94" s="4">
        <f t="shared" si="9"/>
        <v>0</v>
      </c>
      <c r="S94" s="4" t="str">
        <f t="shared" si="10"/>
        <v>Previous year Order</v>
      </c>
      <c r="T94" s="4" t="str">
        <f t="shared" si="11"/>
        <v>Non Premium Product</v>
      </c>
      <c r="U94" s="4">
        <f t="shared" si="12"/>
        <v>0</v>
      </c>
    </row>
    <row r="95" spans="5:21" x14ac:dyDescent="0.3">
      <c r="E95" s="4" t="s">
        <v>125</v>
      </c>
      <c r="F95" s="8" t="s">
        <v>126</v>
      </c>
      <c r="G95" s="4" t="s">
        <v>127</v>
      </c>
      <c r="H95" s="4" t="s">
        <v>15</v>
      </c>
      <c r="I95" s="4" t="s">
        <v>24</v>
      </c>
      <c r="J95" s="4" t="s">
        <v>73</v>
      </c>
      <c r="K95" s="4">
        <v>5</v>
      </c>
      <c r="L95" s="4">
        <v>27968</v>
      </c>
      <c r="M95" s="4" t="s">
        <v>18</v>
      </c>
      <c r="N95" s="4" t="s">
        <v>27</v>
      </c>
      <c r="O95" s="4" t="s">
        <v>28</v>
      </c>
      <c r="P95" s="4">
        <f t="shared" si="7"/>
        <v>139840</v>
      </c>
      <c r="Q95" s="4" t="str">
        <f t="shared" si="8"/>
        <v>High</v>
      </c>
      <c r="R95" s="4">
        <f t="shared" si="9"/>
        <v>0</v>
      </c>
      <c r="S95" s="4" t="str">
        <f t="shared" si="10"/>
        <v>Previous year Order</v>
      </c>
      <c r="T95" s="4" t="str">
        <f t="shared" si="11"/>
        <v>Non Premium Product</v>
      </c>
      <c r="U95" s="4">
        <f t="shared" si="12"/>
        <v>0</v>
      </c>
    </row>
    <row r="96" spans="5:21" x14ac:dyDescent="0.3">
      <c r="E96" s="4" t="s">
        <v>61</v>
      </c>
      <c r="F96" s="8" t="s">
        <v>62</v>
      </c>
      <c r="G96" s="4" t="s">
        <v>63</v>
      </c>
      <c r="H96" s="4" t="s">
        <v>32</v>
      </c>
      <c r="I96" s="4" t="s">
        <v>24</v>
      </c>
      <c r="J96" s="4" t="s">
        <v>33</v>
      </c>
      <c r="K96" s="4">
        <v>5</v>
      </c>
      <c r="L96" s="4">
        <v>36371</v>
      </c>
      <c r="M96" s="4" t="s">
        <v>64</v>
      </c>
      <c r="N96" s="4" t="s">
        <v>19</v>
      </c>
      <c r="O96" s="4" t="s">
        <v>49</v>
      </c>
      <c r="P96" s="4">
        <f t="shared" si="7"/>
        <v>181855</v>
      </c>
      <c r="Q96" s="4" t="str">
        <f t="shared" si="8"/>
        <v>High</v>
      </c>
      <c r="R96" s="4">
        <f t="shared" si="9"/>
        <v>0</v>
      </c>
      <c r="S96" s="4" t="str">
        <f t="shared" si="10"/>
        <v>Previous year Order</v>
      </c>
      <c r="T96" s="4" t="str">
        <f t="shared" si="11"/>
        <v>Non Premium Product</v>
      </c>
      <c r="U96" s="4">
        <f t="shared" si="12"/>
        <v>0</v>
      </c>
    </row>
    <row r="97" spans="5:21" x14ac:dyDescent="0.3">
      <c r="E97" s="4" t="s">
        <v>71</v>
      </c>
      <c r="F97" s="8" t="s">
        <v>72</v>
      </c>
      <c r="G97" s="4" t="s">
        <v>63</v>
      </c>
      <c r="H97" s="4" t="s">
        <v>53</v>
      </c>
      <c r="I97" s="4" t="s">
        <v>24</v>
      </c>
      <c r="J97" s="4" t="s">
        <v>73</v>
      </c>
      <c r="K97" s="4">
        <v>4</v>
      </c>
      <c r="L97" s="4">
        <v>48566</v>
      </c>
      <c r="M97" s="4" t="s">
        <v>26</v>
      </c>
      <c r="N97" s="4" t="s">
        <v>74</v>
      </c>
      <c r="O97" s="4" t="s">
        <v>49</v>
      </c>
      <c r="P97" s="4">
        <f t="shared" si="7"/>
        <v>194264</v>
      </c>
      <c r="Q97" s="4" t="str">
        <f t="shared" si="8"/>
        <v>High</v>
      </c>
      <c r="R97" s="4">
        <f t="shared" si="9"/>
        <v>0</v>
      </c>
      <c r="S97" s="4" t="str">
        <f t="shared" si="10"/>
        <v>Previous year Order</v>
      </c>
      <c r="T97" s="4" t="str">
        <f t="shared" si="11"/>
        <v>Non Premium Product</v>
      </c>
      <c r="U97" s="4">
        <f t="shared" si="12"/>
        <v>0</v>
      </c>
    </row>
    <row r="98" spans="5:21" x14ac:dyDescent="0.3">
      <c r="E98" s="4" t="s">
        <v>237</v>
      </c>
      <c r="F98" s="8" t="s">
        <v>238</v>
      </c>
      <c r="G98" s="4" t="s">
        <v>239</v>
      </c>
      <c r="H98" s="4" t="s">
        <v>53</v>
      </c>
      <c r="I98" s="4" t="s">
        <v>16</v>
      </c>
      <c r="J98" s="4" t="s">
        <v>98</v>
      </c>
      <c r="K98" s="4">
        <v>1</v>
      </c>
      <c r="L98" s="4">
        <v>14495</v>
      </c>
      <c r="M98" s="4" t="s">
        <v>34</v>
      </c>
      <c r="N98" s="4" t="s">
        <v>41</v>
      </c>
      <c r="O98" s="4" t="s">
        <v>20</v>
      </c>
      <c r="P98" s="4">
        <f t="shared" si="7"/>
        <v>14495</v>
      </c>
      <c r="Q98" s="4" t="str">
        <f t="shared" si="8"/>
        <v>Less</v>
      </c>
      <c r="R98" s="4">
        <f t="shared" si="9"/>
        <v>0</v>
      </c>
      <c r="S98" s="4" t="str">
        <f t="shared" si="10"/>
        <v>Previous year Order</v>
      </c>
      <c r="T98" s="4" t="str">
        <f t="shared" si="11"/>
        <v>Non Premium Product</v>
      </c>
      <c r="U98" s="4">
        <f t="shared" si="12"/>
        <v>0</v>
      </c>
    </row>
    <row r="99" spans="5:21" x14ac:dyDescent="0.3">
      <c r="E99" s="4" t="s">
        <v>278</v>
      </c>
      <c r="F99" s="8" t="s">
        <v>228</v>
      </c>
      <c r="G99" s="4" t="s">
        <v>279</v>
      </c>
      <c r="H99" s="4" t="s">
        <v>32</v>
      </c>
      <c r="I99" s="4" t="s">
        <v>24</v>
      </c>
      <c r="J99" s="4" t="s">
        <v>81</v>
      </c>
      <c r="K99" s="4">
        <v>5</v>
      </c>
      <c r="L99" s="4">
        <v>37077</v>
      </c>
      <c r="M99" s="4" t="s">
        <v>26</v>
      </c>
      <c r="N99" s="4" t="s">
        <v>19</v>
      </c>
      <c r="O99" s="4" t="s">
        <v>28</v>
      </c>
      <c r="P99" s="4">
        <f t="shared" si="7"/>
        <v>185385</v>
      </c>
      <c r="Q99" s="4" t="str">
        <f t="shared" si="8"/>
        <v>High</v>
      </c>
      <c r="R99" s="4">
        <f t="shared" si="9"/>
        <v>0</v>
      </c>
      <c r="S99" s="4" t="str">
        <f t="shared" si="10"/>
        <v>Previous year Order</v>
      </c>
      <c r="T99" s="4" t="str">
        <f t="shared" si="11"/>
        <v>Non Premium Product</v>
      </c>
      <c r="U99" s="4">
        <f t="shared" si="12"/>
        <v>0</v>
      </c>
    </row>
    <row r="100" spans="5:21" x14ac:dyDescent="0.3">
      <c r="E100" s="4" t="s">
        <v>201</v>
      </c>
      <c r="F100" s="8" t="s">
        <v>202</v>
      </c>
      <c r="G100" s="4" t="s">
        <v>203</v>
      </c>
      <c r="H100" s="4" t="s">
        <v>32</v>
      </c>
      <c r="I100" s="4" t="s">
        <v>24</v>
      </c>
      <c r="J100" s="4" t="s">
        <v>73</v>
      </c>
      <c r="K100" s="4">
        <v>4</v>
      </c>
      <c r="L100" s="4">
        <v>5781</v>
      </c>
      <c r="M100" s="4" t="s">
        <v>34</v>
      </c>
      <c r="N100" s="4" t="s">
        <v>19</v>
      </c>
      <c r="O100" s="4" t="s">
        <v>49</v>
      </c>
      <c r="P100" s="4">
        <f t="shared" si="7"/>
        <v>23124</v>
      </c>
      <c r="Q100" s="4" t="str">
        <f t="shared" si="8"/>
        <v>High</v>
      </c>
      <c r="R100" s="4">
        <f t="shared" si="9"/>
        <v>0</v>
      </c>
      <c r="S100" s="4" t="str">
        <f t="shared" si="10"/>
        <v>Previous year Order</v>
      </c>
      <c r="T100" s="4" t="str">
        <f t="shared" si="11"/>
        <v>Non Premium Product</v>
      </c>
      <c r="U100" s="4">
        <f t="shared" si="12"/>
        <v>0</v>
      </c>
    </row>
    <row r="101" spans="5:21" x14ac:dyDescent="0.3">
      <c r="E101" s="4" t="s">
        <v>142</v>
      </c>
      <c r="F101" s="8" t="s">
        <v>143</v>
      </c>
      <c r="G101" s="4" t="s">
        <v>144</v>
      </c>
      <c r="H101" s="4" t="s">
        <v>38</v>
      </c>
      <c r="I101" s="4" t="s">
        <v>39</v>
      </c>
      <c r="J101" s="4" t="s">
        <v>70</v>
      </c>
      <c r="K101" s="4">
        <v>5</v>
      </c>
      <c r="L101" s="4">
        <v>11669</v>
      </c>
      <c r="M101" s="4" t="s">
        <v>34</v>
      </c>
      <c r="N101" s="4" t="s">
        <v>74</v>
      </c>
      <c r="O101" s="4" t="s">
        <v>49</v>
      </c>
      <c r="P101" s="4">
        <f t="shared" si="7"/>
        <v>58345</v>
      </c>
      <c r="Q101" s="4" t="str">
        <f t="shared" si="8"/>
        <v>High</v>
      </c>
      <c r="R101" s="4">
        <f t="shared" si="9"/>
        <v>0</v>
      </c>
      <c r="S101" s="4" t="str">
        <f t="shared" si="10"/>
        <v>Previous year Order</v>
      </c>
      <c r="T101" s="4" t="str">
        <f t="shared" si="11"/>
        <v>Premium Product</v>
      </c>
      <c r="U101" s="4">
        <f t="shared" si="12"/>
        <v>0</v>
      </c>
    </row>
    <row r="102" spans="5:21" x14ac:dyDescent="0.3">
      <c r="E102" s="4" t="s">
        <v>12</v>
      </c>
      <c r="F102" s="8" t="s">
        <v>13</v>
      </c>
      <c r="G102" s="4" t="s">
        <v>14</v>
      </c>
      <c r="H102" s="4" t="s">
        <v>15</v>
      </c>
      <c r="I102" s="4" t="s">
        <v>16</v>
      </c>
      <c r="J102" s="4" t="s">
        <v>17</v>
      </c>
      <c r="K102" s="4">
        <v>1</v>
      </c>
      <c r="L102" s="4">
        <v>10336</v>
      </c>
      <c r="M102" s="5" t="s">
        <v>18</v>
      </c>
      <c r="N102" s="4" t="s">
        <v>19</v>
      </c>
      <c r="O102" s="4" t="s">
        <v>20</v>
      </c>
      <c r="P102" s="4">
        <f t="shared" si="7"/>
        <v>10336</v>
      </c>
      <c r="Q102" s="4" t="str">
        <f t="shared" si="8"/>
        <v>Less</v>
      </c>
      <c r="R102" s="4">
        <f t="shared" si="9"/>
        <v>0</v>
      </c>
      <c r="S102" s="4" t="str">
        <f t="shared" si="10"/>
        <v>Previous year Order</v>
      </c>
      <c r="T102" s="4" t="str">
        <f t="shared" si="11"/>
        <v>Non Premium Product</v>
      </c>
      <c r="U102" s="4">
        <f t="shared" si="12"/>
        <v>500</v>
      </c>
    </row>
    <row r="103" spans="5:21" x14ac:dyDescent="0.3">
      <c r="E103" s="4" t="s">
        <v>29</v>
      </c>
      <c r="F103" s="8" t="s">
        <v>30</v>
      </c>
      <c r="G103" s="4" t="s">
        <v>31</v>
      </c>
      <c r="H103" s="4" t="s">
        <v>32</v>
      </c>
      <c r="I103" s="4" t="s">
        <v>24</v>
      </c>
      <c r="J103" s="4" t="s">
        <v>33</v>
      </c>
      <c r="K103" s="4">
        <v>3</v>
      </c>
      <c r="L103" s="4">
        <v>37296</v>
      </c>
      <c r="M103" s="4" t="s">
        <v>34</v>
      </c>
      <c r="N103" s="4" t="s">
        <v>19</v>
      </c>
      <c r="O103" s="4" t="s">
        <v>28</v>
      </c>
      <c r="P103" s="4">
        <f t="shared" si="7"/>
        <v>111888</v>
      </c>
      <c r="Q103" s="4" t="str">
        <f t="shared" si="8"/>
        <v>High</v>
      </c>
      <c r="R103" s="4">
        <f t="shared" si="9"/>
        <v>0</v>
      </c>
      <c r="S103" s="4" t="str">
        <f t="shared" si="10"/>
        <v>Previous year Order</v>
      </c>
      <c r="T103" s="4" t="str">
        <f t="shared" si="11"/>
        <v>Non Premium Product</v>
      </c>
      <c r="U103" s="4">
        <f t="shared" si="12"/>
        <v>500</v>
      </c>
    </row>
    <row r="104" spans="5:21" x14ac:dyDescent="0.3">
      <c r="E104" s="4" t="s">
        <v>184</v>
      </c>
      <c r="F104" s="8" t="s">
        <v>43</v>
      </c>
      <c r="G104" s="4" t="s">
        <v>185</v>
      </c>
      <c r="H104" s="4" t="s">
        <v>32</v>
      </c>
      <c r="I104" s="4" t="s">
        <v>24</v>
      </c>
      <c r="J104" s="4" t="s">
        <v>25</v>
      </c>
      <c r="K104" s="4">
        <v>6</v>
      </c>
      <c r="L104" s="4">
        <v>13499</v>
      </c>
      <c r="M104" s="4" t="s">
        <v>64</v>
      </c>
      <c r="N104" s="4" t="s">
        <v>74</v>
      </c>
      <c r="O104" s="4" t="s">
        <v>20</v>
      </c>
      <c r="P104" s="4">
        <f t="shared" si="7"/>
        <v>80994</v>
      </c>
      <c r="Q104" s="4" t="str">
        <f t="shared" si="8"/>
        <v>High</v>
      </c>
      <c r="R104" s="4">
        <f t="shared" si="9"/>
        <v>0</v>
      </c>
      <c r="S104" s="4" t="str">
        <f t="shared" si="10"/>
        <v>Previous year Order</v>
      </c>
      <c r="T104" s="4" t="str">
        <f t="shared" si="11"/>
        <v>Non Premium Product</v>
      </c>
      <c r="U104" s="4">
        <f t="shared" si="12"/>
        <v>500</v>
      </c>
    </row>
    <row r="105" spans="5:21" x14ac:dyDescent="0.3">
      <c r="E105" s="4" t="s">
        <v>128</v>
      </c>
      <c r="F105" s="8" t="s">
        <v>129</v>
      </c>
      <c r="G105" s="4" t="s">
        <v>130</v>
      </c>
      <c r="H105" s="4" t="s">
        <v>15</v>
      </c>
      <c r="I105" s="4" t="s">
        <v>39</v>
      </c>
      <c r="J105" s="4" t="s">
        <v>56</v>
      </c>
      <c r="K105" s="4">
        <v>1</v>
      </c>
      <c r="L105" s="4">
        <v>7837</v>
      </c>
      <c r="M105" s="4" t="s">
        <v>18</v>
      </c>
      <c r="N105" s="4" t="s">
        <v>41</v>
      </c>
      <c r="O105" s="4" t="s">
        <v>20</v>
      </c>
      <c r="P105" s="4">
        <f t="shared" si="7"/>
        <v>7837</v>
      </c>
      <c r="Q105" s="4" t="str">
        <f t="shared" si="8"/>
        <v>Less</v>
      </c>
      <c r="R105" s="4">
        <f t="shared" si="9"/>
        <v>0</v>
      </c>
      <c r="S105" s="4" t="str">
        <f t="shared" si="10"/>
        <v>Previous year Order</v>
      </c>
      <c r="T105" s="4" t="str">
        <f t="shared" si="11"/>
        <v>Premium Product</v>
      </c>
      <c r="U105" s="4">
        <f t="shared" si="12"/>
        <v>500</v>
      </c>
    </row>
    <row r="106" spans="5:21" x14ac:dyDescent="0.3">
      <c r="E106" s="4" t="s">
        <v>86</v>
      </c>
      <c r="F106" s="8" t="s">
        <v>87</v>
      </c>
      <c r="G106" s="4" t="s">
        <v>88</v>
      </c>
      <c r="H106" s="4" t="s">
        <v>53</v>
      </c>
      <c r="I106" s="4" t="s">
        <v>24</v>
      </c>
      <c r="J106" s="4" t="s">
        <v>81</v>
      </c>
      <c r="K106" s="4">
        <v>3</v>
      </c>
      <c r="L106" s="4">
        <v>54390</v>
      </c>
      <c r="M106" s="4" t="s">
        <v>64</v>
      </c>
      <c r="N106" s="4" t="s">
        <v>74</v>
      </c>
      <c r="O106" s="4" t="s">
        <v>28</v>
      </c>
      <c r="P106" s="4">
        <f t="shared" si="7"/>
        <v>163170</v>
      </c>
      <c r="Q106" s="4" t="str">
        <f t="shared" si="8"/>
        <v>High</v>
      </c>
      <c r="R106" s="4">
        <f t="shared" si="9"/>
        <v>0</v>
      </c>
      <c r="S106" s="4" t="str">
        <f t="shared" si="10"/>
        <v>Previous year Order</v>
      </c>
      <c r="T106" s="4" t="str">
        <f t="shared" si="11"/>
        <v>Non Premium Product</v>
      </c>
      <c r="U106" s="4">
        <f t="shared" si="12"/>
        <v>500</v>
      </c>
    </row>
    <row r="107" spans="5:21" x14ac:dyDescent="0.3">
      <c r="E107" s="4" t="s">
        <v>162</v>
      </c>
      <c r="F107" s="8" t="s">
        <v>163</v>
      </c>
      <c r="G107" s="4" t="s">
        <v>164</v>
      </c>
      <c r="H107" s="4" t="s">
        <v>32</v>
      </c>
      <c r="I107" s="4" t="s">
        <v>16</v>
      </c>
      <c r="J107" s="4" t="s">
        <v>98</v>
      </c>
      <c r="K107" s="4">
        <v>4</v>
      </c>
      <c r="L107" s="4">
        <v>27015</v>
      </c>
      <c r="M107" s="4" t="s">
        <v>18</v>
      </c>
      <c r="N107" s="4" t="s">
        <v>19</v>
      </c>
      <c r="O107" s="4" t="s">
        <v>49</v>
      </c>
      <c r="P107" s="4">
        <f t="shared" si="7"/>
        <v>108060</v>
      </c>
      <c r="Q107" s="4" t="str">
        <f t="shared" si="8"/>
        <v>High</v>
      </c>
      <c r="R107" s="4">
        <f t="shared" si="9"/>
        <v>0</v>
      </c>
      <c r="S107" s="4" t="str">
        <f t="shared" si="10"/>
        <v>Previous year Order</v>
      </c>
      <c r="T107" s="4" t="str">
        <f t="shared" si="11"/>
        <v>Non Premium Product</v>
      </c>
      <c r="U107" s="4">
        <f t="shared" si="12"/>
        <v>500</v>
      </c>
    </row>
    <row r="108" spans="5:21" x14ac:dyDescent="0.3">
      <c r="E108" s="4" t="s">
        <v>109</v>
      </c>
      <c r="F108" s="8" t="s">
        <v>110</v>
      </c>
      <c r="G108" s="4" t="s">
        <v>111</v>
      </c>
      <c r="H108" s="4" t="s">
        <v>38</v>
      </c>
      <c r="I108" s="4" t="s">
        <v>24</v>
      </c>
      <c r="J108" s="4" t="s">
        <v>81</v>
      </c>
      <c r="K108" s="4">
        <v>2</v>
      </c>
      <c r="L108" s="4">
        <v>21230</v>
      </c>
      <c r="M108" s="4" t="s">
        <v>82</v>
      </c>
      <c r="N108" s="4" t="s">
        <v>27</v>
      </c>
      <c r="O108" s="4" t="s">
        <v>28</v>
      </c>
      <c r="P108" s="4">
        <f t="shared" si="7"/>
        <v>42460</v>
      </c>
      <c r="Q108" s="4" t="str">
        <f t="shared" si="8"/>
        <v>High</v>
      </c>
      <c r="R108" s="4">
        <f t="shared" si="9"/>
        <v>0</v>
      </c>
      <c r="S108" s="4" t="str">
        <f t="shared" si="10"/>
        <v>Previous year Order</v>
      </c>
      <c r="T108" s="4" t="str">
        <f t="shared" si="11"/>
        <v>Non Premium Product</v>
      </c>
      <c r="U108" s="4">
        <f t="shared" si="12"/>
        <v>500</v>
      </c>
    </row>
    <row r="109" spans="5:21" x14ac:dyDescent="0.3">
      <c r="E109" s="4" t="s">
        <v>21</v>
      </c>
      <c r="F109" s="8" t="s">
        <v>22</v>
      </c>
      <c r="G109" s="4" t="s">
        <v>23</v>
      </c>
      <c r="H109" s="4" t="s">
        <v>15</v>
      </c>
      <c r="I109" s="4" t="s">
        <v>24</v>
      </c>
      <c r="J109" s="4" t="s">
        <v>25</v>
      </c>
      <c r="K109" s="4">
        <v>5</v>
      </c>
      <c r="L109" s="4">
        <v>20926</v>
      </c>
      <c r="M109" s="4" t="s">
        <v>26</v>
      </c>
      <c r="N109" s="4" t="s">
        <v>27</v>
      </c>
      <c r="O109" s="4" t="s">
        <v>28</v>
      </c>
      <c r="P109" s="4">
        <f t="shared" si="7"/>
        <v>104630</v>
      </c>
      <c r="Q109" s="4" t="str">
        <f t="shared" si="8"/>
        <v>High</v>
      </c>
      <c r="R109" s="4">
        <f t="shared" si="9"/>
        <v>0</v>
      </c>
      <c r="S109" s="4" t="str">
        <f t="shared" si="10"/>
        <v>Previous year Order</v>
      </c>
      <c r="T109" s="4" t="str">
        <f t="shared" si="11"/>
        <v>Non Premium Product</v>
      </c>
      <c r="U109" s="4">
        <f t="shared" si="12"/>
        <v>500</v>
      </c>
    </row>
    <row r="110" spans="5:21" x14ac:dyDescent="0.3">
      <c r="E110" s="4" t="s">
        <v>154</v>
      </c>
      <c r="F110" s="8" t="s">
        <v>155</v>
      </c>
      <c r="G110" s="4" t="s">
        <v>156</v>
      </c>
      <c r="H110" s="4" t="s">
        <v>32</v>
      </c>
      <c r="I110" s="4" t="s">
        <v>39</v>
      </c>
      <c r="J110" s="4" t="s">
        <v>124</v>
      </c>
      <c r="K110" s="4">
        <v>4</v>
      </c>
      <c r="L110" s="4">
        <v>4141</v>
      </c>
      <c r="M110" s="4" t="s">
        <v>34</v>
      </c>
      <c r="N110" s="4" t="s">
        <v>19</v>
      </c>
      <c r="O110" s="4" t="s">
        <v>49</v>
      </c>
      <c r="P110" s="4">
        <f t="shared" si="7"/>
        <v>16564</v>
      </c>
      <c r="Q110" s="4" t="str">
        <f t="shared" si="8"/>
        <v>Less</v>
      </c>
      <c r="R110" s="4">
        <f t="shared" si="9"/>
        <v>0</v>
      </c>
      <c r="S110" s="4" t="str">
        <f t="shared" si="10"/>
        <v>Previous year Order</v>
      </c>
      <c r="T110" s="4" t="str">
        <f t="shared" si="11"/>
        <v>Premium Product</v>
      </c>
      <c r="U110" s="4">
        <f t="shared" si="12"/>
        <v>500</v>
      </c>
    </row>
  </sheetData>
  <sortState xmlns:xlrd2="http://schemas.microsoft.com/office/spreadsheetml/2017/richdata2" ref="E11:P110">
    <sortCondition ref="G11:G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Shaguftha Fathima</dc:creator>
  <cp:lastModifiedBy>lokesh gudimetla</cp:lastModifiedBy>
  <dcterms:created xsi:type="dcterms:W3CDTF">2025-11-01T18:31:23Z</dcterms:created>
  <dcterms:modified xsi:type="dcterms:W3CDTF">2025-12-03T10:56:15Z</dcterms:modified>
</cp:coreProperties>
</file>