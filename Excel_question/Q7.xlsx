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dell\Desktop\whitescholar\Excel Project\Lokesh Excel Project\"/>
    </mc:Choice>
  </mc:AlternateContent>
  <xr:revisionPtr revIDLastSave="0" documentId="13_ncr:1_{F8667261-431D-4192-BE68-0A072CD90BF6}" xr6:coauthVersionLast="47" xr6:coauthVersionMax="47" xr10:uidLastSave="{00000000-0000-0000-0000-000000000000}"/>
  <bookViews>
    <workbookView xWindow="-108" yWindow="-108" windowWidth="23256" windowHeight="12456" activeTab="1" xr2:uid="{7604171E-EE07-4BE7-B9F7-05E5BABA3941}"/>
  </bookViews>
  <sheets>
    <sheet name="Sheet2" sheetId="2" r:id="rId1"/>
    <sheet name="Sheet1" sheetId="1" r:id="rId2"/>
  </sheets>
  <definedNames>
    <definedName name="Slicer_Customer_Segment">#N/A</definedName>
    <definedName name="Slicer_Region">#N/A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s>
  <extLst>
    <ext xmlns:x14="http://schemas.microsoft.com/office/spreadsheetml/2009/9/main" uri="{876F7934-8845-4945-9796-88D515C7AA90}">
      <x14:pivotCaches>
        <pivotCache cacheId="8"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K4"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F8214F-74CF-4BCF-A352-CFC7A742A1D1}" name="Excel Sales Data Set for Dashboard" type="100" refreshedVersion="0">
    <extLst>
      <ext xmlns:x15="http://schemas.microsoft.com/office/spreadsheetml/2010/11/main" uri="{DE250136-89BD-433C-8126-D09CA5730AF9}">
        <x15:connection id="9a2d8e76-1c70-4203-9580-aed6cff4b2b2"/>
      </ext>
    </extLst>
  </connection>
  <connection id="2" xr16:uid="{B5C690B2-C47D-4A14-A761-4FCB476B766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<sst xmlns="http://schemas.openxmlformats.org/spreadsheetml/2006/main" count="81" uniqueCount="45">
  <si>
    <t>Create a Dashboard for the Sales Data provided</t>
  </si>
  <si>
    <t>Clean and Analyze the data</t>
  </si>
  <si>
    <t>Sum of Sales</t>
  </si>
  <si>
    <t>Row Labels</t>
  </si>
  <si>
    <t>Central</t>
  </si>
  <si>
    <t>East</t>
  </si>
  <si>
    <t>South</t>
  </si>
  <si>
    <t>West</t>
  </si>
  <si>
    <t>Grand Total</t>
  </si>
  <si>
    <t>Sum of Discount</t>
  </si>
  <si>
    <t>Critical</t>
  </si>
  <si>
    <t>High</t>
  </si>
  <si>
    <t>Low</t>
  </si>
  <si>
    <t>Medium</t>
  </si>
  <si>
    <t>Not Specified</t>
  </si>
  <si>
    <t>Sum of Unit Price</t>
  </si>
  <si>
    <t>Chris</t>
  </si>
  <si>
    <t>Erin</t>
  </si>
  <si>
    <t>Sam</t>
  </si>
  <si>
    <t>William</t>
  </si>
  <si>
    <t>Sum of Profit</t>
  </si>
  <si>
    <t>Jeanette Davies</t>
  </si>
  <si>
    <t>John Bray</t>
  </si>
  <si>
    <t>Kristine Connolly</t>
  </si>
  <si>
    <t>Lee Xu</t>
  </si>
  <si>
    <t>Leroy Blanchard</t>
  </si>
  <si>
    <t>Nina Horne Kelly</t>
  </si>
  <si>
    <t>Rosemary O'Brien</t>
  </si>
  <si>
    <t>Scott McKenna</t>
  </si>
  <si>
    <t>Timothy Ross</t>
  </si>
  <si>
    <t>Yvonne Mann</t>
  </si>
  <si>
    <t>Boston</t>
  </si>
  <si>
    <t>Chicago</t>
  </si>
  <si>
    <t>Detroit</t>
  </si>
  <si>
    <t>Los Angeles</t>
  </si>
  <si>
    <t>Madison</t>
  </si>
  <si>
    <t>Miami</t>
  </si>
  <si>
    <t>New York City</t>
  </si>
  <si>
    <t>Philadelphia</t>
  </si>
  <si>
    <t>Seattle</t>
  </si>
  <si>
    <t>Washington</t>
  </si>
  <si>
    <t>Consumer</t>
  </si>
  <si>
    <t>Corporate</t>
  </si>
  <si>
    <t>Home Office</t>
  </si>
  <si>
    <t>Small Business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</si>
</sst>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quot;M&quot;"/>
    <numFmt numFmtId="165" formatCode="0.00&quot;%&quot;"/>
    <numFmt numFmtId="166" formatCode="0.00,,&quot;M&quot;"/>
  </numFmts>
  <fonts count="3" x14ac:knownFonts="1">
    <font>
      <sz val="11"/>
      <color theme="1"/>
      <name val="Calibri"/>
      <family val="2"/>
      <scheme val="minor"/>
    </font>
    <font>
      <b/>
      <sz val="11"/>
      <color rgb="FFC00000"/>
      <name val="Calibri"/>
      <family val="2"/>
      <scheme val="minor"/>
    </font>
    <font>
      <sz val="1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0" fontId="2" fillId="0" borderId="0" xfId="0" applyFont="1"/>
  </cellXfs>
  <cellStyles count="1">
    <cellStyle name="Normal" xfId="0" builtinId="0"/>
  </cellStyles>
  <dxfs count="10">
    <dxf>
      <numFmt numFmtId="164" formatCode="0.00,&quot;M&quot;"/>
    </dxf>
    <dxf>
      <numFmt numFmtId="165" formatCode="0.00&quot;%&quot;"/>
    </dxf>
    <dxf>
      <numFmt numFmtId="164" formatCode="0.00,&quot;M&quot;"/>
    </dxf>
    <dxf>
      <numFmt numFmtId="166" formatCode="0.00,,&quot;M&quot;"/>
    </dxf>
    <dxf>
      <numFmt numFmtId="164" formatCode="0.00,&quot;M&quot;"/>
    </dxf>
    <dxf>
      <numFmt numFmtId="164" formatCode="0.00,&quot;M&quot;"/>
    </dxf>
    <dxf>
      <numFmt numFmtId="164" formatCode="0.00,&quot;M&quot;"/>
    </dxf>
    <dxf>
      <numFmt numFmtId="164" formatCode="0.00,&quot;M&quot;"/>
    </dxf>
    <dxf>
      <numFmt numFmtId="165" formatCode="0.00&quot;%&quot;"/>
    </dxf>
    <dxf>
      <numFmt numFmtId="166" formatCode="0.00,,&quot;M&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calcChain" Target="calcChain.xml"/><Relationship Id="rId26" Type="http://schemas.openxmlformats.org/officeDocument/2006/relationships/customXml" Target="../customXml/item8.xml"/><Relationship Id="rId3" Type="http://schemas.openxmlformats.org/officeDocument/2006/relationships/pivotCacheDefinition" Target="pivotCache/pivotCacheDefinition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5.xml"/><Relationship Id="rId12" Type="http://schemas.microsoft.com/office/2007/relationships/slicerCache" Target="slicerCaches/slicerCache1.xml"/><Relationship Id="rId17" Type="http://schemas.openxmlformats.org/officeDocument/2006/relationships/sharedStrings" Target="sharedStrings.xml"/><Relationship Id="rId25" Type="http://schemas.openxmlformats.org/officeDocument/2006/relationships/customXml" Target="../customXml/item7.xml"/><Relationship Id="rId33"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6.xml"/><Relationship Id="rId32" Type="http://schemas.openxmlformats.org/officeDocument/2006/relationships/customXml" Target="../customXml/item14.xml"/><Relationship Id="rId5" Type="http://schemas.openxmlformats.org/officeDocument/2006/relationships/pivotCacheDefinition" Target="pivotCache/pivotCacheDefinition3.xml"/><Relationship Id="rId15" Type="http://schemas.openxmlformats.org/officeDocument/2006/relationships/connections" Target="connections.xml"/><Relationship Id="rId23" Type="http://schemas.openxmlformats.org/officeDocument/2006/relationships/customXml" Target="../customXml/item5.xml"/><Relationship Id="rId28" Type="http://schemas.openxmlformats.org/officeDocument/2006/relationships/customXml" Target="../customXml/item10.xml"/><Relationship Id="rId10" Type="http://schemas.openxmlformats.org/officeDocument/2006/relationships/pivotCacheDefinition" Target="pivotCache/pivotCacheDefinition8.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theme" Target="theme/theme1.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[Q7.xlsx]Sheet2!City_UPrice</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City</a:t>
            </a:r>
            <a:r>
              <a:rPr lang="en-US" baseline="0"/>
              <a:t> Wise Unite Price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8.33333333333334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8.33333333333334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5.5555555555555558E-3"/>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Sheet2!$AC$7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extLst>
              <c:ext xmlns:c16="http://schemas.microsoft.com/office/drawing/2014/chart" uri="{C3380CC4-5D6E-409C-BE32-E72D297353CC}">
                <c16:uniqueId val="{00000003-B394-4579-B7FD-D7ED3BEFC82D}"/>
              </c:ext>
            </c:extLst>
          </c:dPt>
          <c:dPt>
            <c:idx val="2"/>
            <c:invertIfNegative val="0"/>
            <c:bubble3D val="0"/>
            <c:extLst>
              <c:ext xmlns:c16="http://schemas.microsoft.com/office/drawing/2014/chart" uri="{C3380CC4-5D6E-409C-BE32-E72D297353CC}">
                <c16:uniqueId val="{00000004-2D2C-4BD1-83F8-EE4DF1C554B9}"/>
              </c:ext>
            </c:extLst>
          </c:dPt>
          <c:dPt>
            <c:idx val="5"/>
            <c:invertIfNegative val="0"/>
            <c:bubble3D val="0"/>
            <c:extLst>
              <c:ext xmlns:c16="http://schemas.microsoft.com/office/drawing/2014/chart" uri="{C3380CC4-5D6E-409C-BE32-E72D297353CC}">
                <c16:uniqueId val="{00000002-2D2C-4BD1-83F8-EE4DF1C554B9}"/>
              </c:ext>
            </c:extLst>
          </c:dPt>
          <c:dPt>
            <c:idx val="7"/>
            <c:invertIfNegative val="0"/>
            <c:bubble3D val="0"/>
            <c:extLst>
              <c:ext xmlns:c16="http://schemas.microsoft.com/office/drawing/2014/chart" uri="{C3380CC4-5D6E-409C-BE32-E72D297353CC}">
                <c16:uniqueId val="{00000003-2D2C-4BD1-83F8-EE4DF1C554B9}"/>
              </c:ext>
            </c:extLst>
          </c:dPt>
          <c:dLbls>
            <c:dLbl>
              <c:idx val="1"/>
              <c:layout>
                <c:manualLayout>
                  <c:x val="0"/>
                  <c:y val="-7.40740740740740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394-4579-B7FD-D7ED3BEFC82D}"/>
                </c:ext>
              </c:extLst>
            </c:dLbl>
            <c:dLbl>
              <c:idx val="2"/>
              <c:layout>
                <c:manualLayout>
                  <c:x val="0"/>
                  <c:y val="-7.40740740740740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D2C-4BD1-83F8-EE4DF1C554B9}"/>
                </c:ext>
              </c:extLst>
            </c:dLbl>
            <c:dLbl>
              <c:idx val="5"/>
              <c:layout>
                <c:manualLayout>
                  <c:x val="-2.7777777777777779E-3"/>
                  <c:y val="-8.333333333333341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D2C-4BD1-83F8-EE4DF1C554B9}"/>
                </c:ext>
              </c:extLst>
            </c:dLbl>
            <c:dLbl>
              <c:idx val="7"/>
              <c:layout>
                <c:manualLayout>
                  <c:x val="-2.7777777777777779E-3"/>
                  <c:y val="-8.333333333333341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D2C-4BD1-83F8-EE4DF1C554B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Sheet2!$AB$8:$AB$18</c:f>
              <c:strCache>
                <c:ptCount val="10"/>
                <c:pt idx="0">
                  <c:v>Boston</c:v>
                </c:pt>
                <c:pt idx="1">
                  <c:v>Chicago</c:v>
                </c:pt>
                <c:pt idx="2">
                  <c:v>Detroit</c:v>
                </c:pt>
                <c:pt idx="3">
                  <c:v>Los Angeles</c:v>
                </c:pt>
                <c:pt idx="4">
                  <c:v>Madison</c:v>
                </c:pt>
                <c:pt idx="5">
                  <c:v>Miami</c:v>
                </c:pt>
                <c:pt idx="6">
                  <c:v>New York City</c:v>
                </c:pt>
                <c:pt idx="7">
                  <c:v>Philadelphia</c:v>
                </c:pt>
                <c:pt idx="8">
                  <c:v>Seattle</c:v>
                </c:pt>
                <c:pt idx="9">
                  <c:v>Washington</c:v>
                </c:pt>
              </c:strCache>
            </c:strRef>
          </c:cat>
          <c:val>
            <c:numRef>
              <c:f>Sheet2!$AC$8:$AC$18</c:f>
              <c:numCache>
                <c:formatCode>0.00,"M"</c:formatCode>
                <c:ptCount val="10"/>
                <c:pt idx="0">
                  <c:v>1769.43</c:v>
                </c:pt>
                <c:pt idx="1">
                  <c:v>1230.58</c:v>
                </c:pt>
                <c:pt idx="2">
                  <c:v>585.77</c:v>
                </c:pt>
                <c:pt idx="3">
                  <c:v>5168.62</c:v>
                </c:pt>
                <c:pt idx="4">
                  <c:v>6815.2</c:v>
                </c:pt>
                <c:pt idx="5">
                  <c:v>436.19</c:v>
                </c:pt>
                <c:pt idx="6">
                  <c:v>4733.3599999999997</c:v>
                </c:pt>
                <c:pt idx="7">
                  <c:v>1131.1600000000001</c:v>
                </c:pt>
                <c:pt idx="8">
                  <c:v>2409.35</c:v>
                </c:pt>
                <c:pt idx="9">
                  <c:v>1888.05</c:v>
                </c:pt>
              </c:numCache>
            </c:numRef>
          </c:val>
          <c:extLst>
            <c:ext xmlns:c16="http://schemas.microsoft.com/office/drawing/2014/chart" uri="{C3380CC4-5D6E-409C-BE32-E72D297353CC}">
              <c16:uniqueId val="{00000000-2D2C-4BD1-83F8-EE4DF1C554B9}"/>
            </c:ext>
          </c:extLst>
        </c:ser>
        <c:dLbls>
          <c:dLblPos val="ctr"/>
          <c:showLegendKey val="0"/>
          <c:showVal val="1"/>
          <c:showCatName val="0"/>
          <c:showSerName val="0"/>
          <c:showPercent val="0"/>
          <c:showBubbleSize val="0"/>
        </c:dLbls>
        <c:gapWidth val="150"/>
        <c:overlap val="100"/>
        <c:axId val="1904878896"/>
        <c:axId val="1904882256"/>
      </c:barChart>
      <c:catAx>
        <c:axId val="19048788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882256"/>
        <c:crosses val="autoZero"/>
        <c:auto val="1"/>
        <c:lblAlgn val="ctr"/>
        <c:lblOffset val="100"/>
        <c:noMultiLvlLbl val="0"/>
      </c:catAx>
      <c:valAx>
        <c:axId val="1904882256"/>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878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[Q7.xlsx]Sheet2!Region_Sales</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bg1"/>
                </a:solidFill>
              </a:rPr>
              <a:t>Region Wise Sales</a:t>
            </a:r>
          </a:p>
        </c:rich>
      </c:tx>
      <c:layout>
        <c:manualLayout>
          <c:xMode val="edge"/>
          <c:yMode val="edge"/>
          <c:x val="0.23085986124421956"/>
          <c:y val="0.1291873699139450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dk1">
              <a:tint val="88500"/>
            </a:schemeClr>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dk1">
              <a:tint val="88500"/>
            </a:schemeClr>
          </a:solidFill>
          <a:ln>
            <a:noFill/>
          </a:ln>
          <a:effectLst>
            <a:outerShdw blurRad="254000" sx="102000" sy="102000" algn="ctr" rotWithShape="0">
              <a:prstClr val="black">
                <a:alpha val="20000"/>
              </a:prstClr>
            </a:outerShdw>
          </a:effectLst>
        </c:spPr>
      </c:pivotFmt>
      <c:pivotFmt>
        <c:idx val="8"/>
        <c:spPr>
          <a:solidFill>
            <a:schemeClr val="dk1">
              <a:tint val="88500"/>
            </a:schemeClr>
          </a:solidFill>
          <a:ln>
            <a:noFill/>
          </a:ln>
          <a:effectLst>
            <a:outerShdw blurRad="254000" sx="102000" sy="102000" algn="ctr" rotWithShape="0">
              <a:prstClr val="black">
                <a:alpha val="20000"/>
              </a:prstClr>
            </a:outerShdw>
          </a:effectLst>
        </c:spPr>
      </c:pivotFmt>
      <c:pivotFmt>
        <c:idx val="9"/>
        <c:spPr>
          <a:solidFill>
            <a:schemeClr val="dk1">
              <a:tint val="88500"/>
            </a:schemeClr>
          </a:solidFill>
          <a:ln>
            <a:noFill/>
          </a:ln>
          <a:effectLst>
            <a:outerShdw blurRad="254000" sx="102000" sy="102000" algn="ctr" rotWithShape="0">
              <a:prstClr val="black">
                <a:alpha val="20000"/>
              </a:prstClr>
            </a:outerShdw>
          </a:effectLst>
        </c:spPr>
      </c:pivotFmt>
      <c:pivotFmt>
        <c:idx val="10"/>
        <c:spPr>
          <a:solidFill>
            <a:schemeClr val="dk1">
              <a:tint val="885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Sheet2!$C$3</c:f>
              <c:strCache>
                <c:ptCount val="1"/>
                <c:pt idx="0">
                  <c:v>Total</c:v>
                </c:pt>
              </c:strCache>
            </c:strRef>
          </c:tx>
          <c:dPt>
            <c:idx val="0"/>
            <c:bubble3D val="0"/>
            <c:spPr>
              <a:solidFill>
                <a:schemeClr val="dk1">
                  <a:tint val="885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092-4885-925B-C88AC30CB1A9}"/>
              </c:ext>
            </c:extLst>
          </c:dPt>
          <c:dPt>
            <c:idx val="1"/>
            <c:bubble3D val="0"/>
            <c:spPr>
              <a:solidFill>
                <a:schemeClr val="dk1">
                  <a:tint val="5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092-4885-925B-C88AC30CB1A9}"/>
              </c:ext>
            </c:extLst>
          </c:dPt>
          <c:dPt>
            <c:idx val="2"/>
            <c:bubble3D val="0"/>
            <c:spPr>
              <a:solidFill>
                <a:schemeClr val="dk1">
                  <a:tint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092-4885-925B-C88AC30CB1A9}"/>
              </c:ext>
            </c:extLst>
          </c:dPt>
          <c:dPt>
            <c:idx val="3"/>
            <c:bubble3D val="0"/>
            <c:spPr>
              <a:solidFill>
                <a:schemeClr val="dk1">
                  <a:tint val="985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092-4885-925B-C88AC30CB1A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Sheet2!$B$4:$B$8</c:f>
              <c:strCache>
                <c:ptCount val="4"/>
                <c:pt idx="0">
                  <c:v>Central</c:v>
                </c:pt>
                <c:pt idx="1">
                  <c:v>East</c:v>
                </c:pt>
                <c:pt idx="2">
                  <c:v>South</c:v>
                </c:pt>
                <c:pt idx="3">
                  <c:v>West</c:v>
                </c:pt>
              </c:strCache>
            </c:strRef>
          </c:cat>
          <c:val>
            <c:numRef>
              <c:f>Sheet2!$C$4:$C$8</c:f>
              <c:numCache>
                <c:formatCode>0.00,,"M"</c:formatCode>
                <c:ptCount val="4"/>
                <c:pt idx="0">
                  <c:v>448284.7</c:v>
                </c:pt>
                <c:pt idx="1">
                  <c:v>592171.49</c:v>
                </c:pt>
                <c:pt idx="2">
                  <c:v>357105.12</c:v>
                </c:pt>
                <c:pt idx="3">
                  <c:v>526776.56999999995</c:v>
                </c:pt>
              </c:numCache>
            </c:numRef>
          </c:val>
          <c:extLst>
            <c:ext xmlns:c16="http://schemas.microsoft.com/office/drawing/2014/chart" uri="{C3380CC4-5D6E-409C-BE32-E72D297353CC}">
              <c16:uniqueId val="{00000008-E092-4885-925B-C88AC30CB1A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1270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[Q7.xlsx]Sheet2!Region_discount</c:name>
    <c:fmtId val="11"/>
  </c:pivotSource>
  <c:chart>
    <c:title>
      <c:tx>
        <c:rich>
          <a:bodyPr rot="0" spcFirstLastPara="1" vertOverflow="ellipsis" vert="horz" wrap="square" anchor="ctr" anchorCtr="1"/>
          <a:lstStyle/>
          <a:p>
            <a:pPr>
              <a:defRPr lang="en-US" sz="1200" b="0"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a:solidFill>
                  <a:schemeClr val="bg1"/>
                </a:solidFill>
              </a:rPr>
              <a:t>Region wise Sales And Discount</a:t>
            </a:r>
          </a:p>
        </c:rich>
      </c:tx>
      <c:layout>
        <c:manualLayout>
          <c:xMode val="edge"/>
          <c:yMode val="edge"/>
          <c:x val="0.24088902502747797"/>
          <c:y val="8.1782095349536413E-2"/>
        </c:manualLayout>
      </c:layout>
      <c:overlay val="0"/>
      <c:spPr>
        <a:noFill/>
        <a:ln>
          <a:noFill/>
        </a:ln>
        <a:effectLst/>
      </c:spPr>
      <c:txPr>
        <a:bodyPr rot="0" spcFirstLastPara="1" vertOverflow="ellipsis" vert="horz" wrap="square" anchor="ctr" anchorCtr="1"/>
        <a:lstStyle/>
        <a:p>
          <a:pPr>
            <a:defRPr lang="en-US" sz="1200" b="0"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Sheet2!$G$3</c:f>
              <c:strCache>
                <c:ptCount val="1"/>
                <c:pt idx="0">
                  <c:v>Sum of Discount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Sheet2!$F$4:$F$8</c:f>
              <c:strCache>
                <c:ptCount val="4"/>
                <c:pt idx="0">
                  <c:v>Central</c:v>
                </c:pt>
                <c:pt idx="1">
                  <c:v>East</c:v>
                </c:pt>
                <c:pt idx="2">
                  <c:v>South</c:v>
                </c:pt>
                <c:pt idx="3">
                  <c:v>West</c:v>
                </c:pt>
              </c:strCache>
            </c:strRef>
          </c:cat>
          <c:val>
            <c:numRef>
              <c:f>Sheet2!$G$4:$G$8</c:f>
              <c:numCache>
                <c:formatCode>0.00"%"</c:formatCode>
                <c:ptCount val="4"/>
                <c:pt idx="0">
                  <c:v>27.659999999999997</c:v>
                </c:pt>
                <c:pt idx="1">
                  <c:v>23.549999999999979</c:v>
                </c:pt>
                <c:pt idx="2">
                  <c:v>22.019999999999985</c:v>
                </c:pt>
                <c:pt idx="3">
                  <c:v>22.370000000000005</c:v>
                </c:pt>
              </c:numCache>
            </c:numRef>
          </c:val>
          <c:extLst>
            <c:ext xmlns:c16="http://schemas.microsoft.com/office/drawing/2014/chart" uri="{C3380CC4-5D6E-409C-BE32-E72D297353CC}">
              <c16:uniqueId val="{00000000-1071-47AE-BE52-4A5511425CAE}"/>
            </c:ext>
          </c:extLst>
        </c:ser>
        <c:dLbls>
          <c:showLegendKey val="0"/>
          <c:showVal val="1"/>
          <c:showCatName val="0"/>
          <c:showSerName val="0"/>
          <c:showPercent val="0"/>
          <c:showBubbleSize val="0"/>
        </c:dLbls>
        <c:gapWidth val="219"/>
        <c:overlap val="100"/>
        <c:axId val="350196912"/>
        <c:axId val="350198352"/>
      </c:barChart>
      <c:lineChart>
        <c:grouping val="standard"/>
        <c:varyColors val="0"/>
        <c:ser>
          <c:idx val="1"/>
          <c:order val="1"/>
          <c:tx>
            <c:strRef>
              <c:f>Sheet2!$H$3</c:f>
              <c:strCache>
                <c:ptCount val="1"/>
                <c:pt idx="0">
                  <c:v>Sum of Sales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Sheet2!$F$4:$F$8</c:f>
              <c:strCache>
                <c:ptCount val="4"/>
                <c:pt idx="0">
                  <c:v>Central</c:v>
                </c:pt>
                <c:pt idx="1">
                  <c:v>East</c:v>
                </c:pt>
                <c:pt idx="2">
                  <c:v>South</c:v>
                </c:pt>
                <c:pt idx="3">
                  <c:v>West</c:v>
                </c:pt>
              </c:strCache>
            </c:strRef>
          </c:cat>
          <c:val>
            <c:numRef>
              <c:f>Sheet2!$H$4:$H$8</c:f>
              <c:numCache>
                <c:formatCode>0.00,,"M"</c:formatCode>
                <c:ptCount val="4"/>
                <c:pt idx="0">
                  <c:v>448284.7</c:v>
                </c:pt>
                <c:pt idx="1">
                  <c:v>592171.49</c:v>
                </c:pt>
                <c:pt idx="2">
                  <c:v>357105.12</c:v>
                </c:pt>
                <c:pt idx="3">
                  <c:v>526776.56999999995</c:v>
                </c:pt>
              </c:numCache>
            </c:numRef>
          </c:val>
          <c:smooth val="0"/>
          <c:extLst>
            <c:ext xmlns:c16="http://schemas.microsoft.com/office/drawing/2014/chart" uri="{C3380CC4-5D6E-409C-BE32-E72D297353CC}">
              <c16:uniqueId val="{00000001-1071-47AE-BE52-4A5511425CAE}"/>
            </c:ext>
          </c:extLst>
        </c:ser>
        <c:dLbls>
          <c:showLegendKey val="0"/>
          <c:showVal val="1"/>
          <c:showCatName val="0"/>
          <c:showSerName val="0"/>
          <c:showPercent val="0"/>
          <c:showBubbleSize val="0"/>
        </c:dLbls>
        <c:marker val="1"/>
        <c:smooth val="0"/>
        <c:axId val="295956672"/>
        <c:axId val="295960032"/>
      </c:lineChart>
      <c:catAx>
        <c:axId val="3501969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350198352"/>
        <c:crosses val="autoZero"/>
        <c:auto val="1"/>
        <c:lblAlgn val="ctr"/>
        <c:lblOffset val="100"/>
        <c:noMultiLvlLbl val="0"/>
      </c:catAx>
      <c:valAx>
        <c:axId val="350198352"/>
        <c:scaling>
          <c:orientation val="minMax"/>
        </c:scaling>
        <c:delete val="0"/>
        <c:axPos val="l"/>
        <c:numFmt formatCode="0.00&quot;%&quot;"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350196912"/>
        <c:crosses val="autoZero"/>
        <c:crossBetween val="between"/>
      </c:valAx>
      <c:valAx>
        <c:axId val="295960032"/>
        <c:scaling>
          <c:orientation val="minMax"/>
        </c:scaling>
        <c:delete val="0"/>
        <c:axPos val="r"/>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295956672"/>
        <c:crosses val="max"/>
        <c:crossBetween val="between"/>
      </c:valAx>
      <c:catAx>
        <c:axId val="295956672"/>
        <c:scaling>
          <c:orientation val="minMax"/>
        </c:scaling>
        <c:delete val="1"/>
        <c:axPos val="t"/>
        <c:numFmt formatCode="General" sourceLinked="1"/>
        <c:majorTickMark val="none"/>
        <c:minorTickMark val="none"/>
        <c:tickLblPos val="nextTo"/>
        <c:crossAx val="295960032"/>
        <c:crosses val="max"/>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12700">
      <a:solidFill>
        <a:schemeClr val="bg1"/>
      </a:solidFill>
    </a:ln>
    <a:effectLst>
      <a:innerShdw blurRad="76200" dist="63500" dir="12000000">
        <a:prstClr val="black">
          <a:alpha val="40000"/>
        </a:prstClr>
      </a:innerShdw>
    </a:effectLst>
    <a:scene3d>
      <a:camera prst="orthographicFront"/>
      <a:lightRig rig="threePt" dir="t"/>
    </a:scene3d>
    <a:sp3d>
      <a:bevelT/>
    </a:sp3d>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[Q7.xlsx]Sheet2!Order_discount</c:name>
    <c:fmtId val="9"/>
  </c:pivotSource>
  <c:chart>
    <c:title>
      <c:tx>
        <c:rich>
          <a:bodyPr rot="0" spcFirstLastPara="1" vertOverflow="ellipsis" vert="horz" wrap="square" anchor="ctr" anchorCtr="1"/>
          <a:lstStyle/>
          <a:p>
            <a:pPr>
              <a:defRPr lang="en-IN" sz="1000" b="0"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IN" sz="1000" b="0" i="0" u="none" strike="noStrike" kern="1200" baseline="0">
                <a:solidFill>
                  <a:schemeClr val="bg1"/>
                </a:solidFill>
                <a:latin typeface="+mn-lt"/>
                <a:ea typeface="+mn-ea"/>
                <a:cs typeface="+mn-cs"/>
              </a:rPr>
              <a:t>Order Priority And Unit Price And Discount</a:t>
            </a:r>
          </a:p>
        </c:rich>
      </c:tx>
      <c:layout>
        <c:manualLayout>
          <c:xMode val="edge"/>
          <c:yMode val="edge"/>
          <c:x val="0.18427777777777779"/>
          <c:y val="8.6942257217847763E-2"/>
        </c:manualLayout>
      </c:layout>
      <c:overlay val="0"/>
      <c:spPr>
        <a:noFill/>
        <a:ln>
          <a:noFill/>
        </a:ln>
        <a:effectLst/>
      </c:spPr>
      <c:txPr>
        <a:bodyPr rot="0" spcFirstLastPara="1" vertOverflow="ellipsis" vert="horz" wrap="square" anchor="ctr" anchorCtr="1"/>
        <a:lstStyle/>
        <a:p>
          <a:pPr>
            <a:defRPr lang="en-IN" sz="1000" b="0"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1"/>
          <c:order val="1"/>
          <c:tx>
            <c:strRef>
              <c:f>Sheet2!$L$3</c:f>
              <c:strCache>
                <c:ptCount val="1"/>
                <c:pt idx="0">
                  <c:v>Sum of Unit Price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Sheet2!$J$4:$J$9</c:f>
              <c:strCache>
                <c:ptCount val="5"/>
                <c:pt idx="0">
                  <c:v>Critical</c:v>
                </c:pt>
                <c:pt idx="1">
                  <c:v>High</c:v>
                </c:pt>
                <c:pt idx="2">
                  <c:v>Low</c:v>
                </c:pt>
                <c:pt idx="3">
                  <c:v>Medium</c:v>
                </c:pt>
                <c:pt idx="4">
                  <c:v>Not Specified</c:v>
                </c:pt>
              </c:strCache>
            </c:strRef>
          </c:cat>
          <c:val>
            <c:numRef>
              <c:f>Sheet2!$L$4:$L$9</c:f>
              <c:numCache>
                <c:formatCode>0.00,"M"</c:formatCode>
                <c:ptCount val="5"/>
                <c:pt idx="0">
                  <c:v>42372.42</c:v>
                </c:pt>
                <c:pt idx="1">
                  <c:v>34162.75</c:v>
                </c:pt>
                <c:pt idx="2">
                  <c:v>42637.65</c:v>
                </c:pt>
                <c:pt idx="3">
                  <c:v>54108.35</c:v>
                </c:pt>
                <c:pt idx="4">
                  <c:v>39641.47</c:v>
                </c:pt>
              </c:numCache>
            </c:numRef>
          </c:val>
          <c:extLst>
            <c:ext xmlns:c16="http://schemas.microsoft.com/office/drawing/2014/chart" uri="{C3380CC4-5D6E-409C-BE32-E72D297353CC}">
              <c16:uniqueId val="{00000000-A5B8-44E6-9741-69D4AA52F8FA}"/>
            </c:ext>
          </c:extLst>
        </c:ser>
        <c:dLbls>
          <c:showLegendKey val="0"/>
          <c:showVal val="0"/>
          <c:showCatName val="0"/>
          <c:showSerName val="0"/>
          <c:showPercent val="0"/>
          <c:showBubbleSize val="0"/>
        </c:dLbls>
        <c:gapWidth val="219"/>
        <c:overlap val="100"/>
        <c:axId val="1288804335"/>
        <c:axId val="1288803375"/>
      </c:barChart>
      <c:lineChart>
        <c:grouping val="stacked"/>
        <c:varyColors val="0"/>
        <c:ser>
          <c:idx val="0"/>
          <c:order val="0"/>
          <c:tx>
            <c:strRef>
              <c:f>Sheet2!$K$3</c:f>
              <c:strCache>
                <c:ptCount val="1"/>
                <c:pt idx="0">
                  <c:v>Sum of Discount</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Sheet2!$J$4:$J$9</c:f>
              <c:strCache>
                <c:ptCount val="5"/>
                <c:pt idx="0">
                  <c:v>Critical</c:v>
                </c:pt>
                <c:pt idx="1">
                  <c:v>High</c:v>
                </c:pt>
                <c:pt idx="2">
                  <c:v>Low</c:v>
                </c:pt>
                <c:pt idx="3">
                  <c:v>Medium</c:v>
                </c:pt>
                <c:pt idx="4">
                  <c:v>Not Specified</c:v>
                </c:pt>
              </c:strCache>
            </c:strRef>
          </c:cat>
          <c:val>
            <c:numRef>
              <c:f>Sheet2!$K$4:$K$9</c:f>
              <c:numCache>
                <c:formatCode>0.00"%"</c:formatCode>
                <c:ptCount val="5"/>
                <c:pt idx="0">
                  <c:v>18.809999999999988</c:v>
                </c:pt>
                <c:pt idx="1">
                  <c:v>20</c:v>
                </c:pt>
                <c:pt idx="2">
                  <c:v>20.389999999999976</c:v>
                </c:pt>
                <c:pt idx="3">
                  <c:v>18.22999999999999</c:v>
                </c:pt>
                <c:pt idx="4">
                  <c:v>18.169999999999973</c:v>
                </c:pt>
              </c:numCache>
            </c:numRef>
          </c:val>
          <c:smooth val="0"/>
          <c:extLst>
            <c:ext xmlns:c16="http://schemas.microsoft.com/office/drawing/2014/chart" uri="{C3380CC4-5D6E-409C-BE32-E72D297353CC}">
              <c16:uniqueId val="{00000001-A5B8-44E6-9741-69D4AA52F8FA}"/>
            </c:ext>
          </c:extLst>
        </c:ser>
        <c:dLbls>
          <c:showLegendKey val="0"/>
          <c:showVal val="0"/>
          <c:showCatName val="0"/>
          <c:showSerName val="0"/>
          <c:showPercent val="0"/>
          <c:showBubbleSize val="0"/>
        </c:dLbls>
        <c:marker val="1"/>
        <c:smooth val="0"/>
        <c:axId val="287832640"/>
        <c:axId val="287831680"/>
      </c:lineChart>
      <c:catAx>
        <c:axId val="2878326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7831680"/>
        <c:crosses val="autoZero"/>
        <c:auto val="1"/>
        <c:lblAlgn val="ctr"/>
        <c:lblOffset val="100"/>
        <c:noMultiLvlLbl val="0"/>
      </c:catAx>
      <c:valAx>
        <c:axId val="287831680"/>
        <c:scaling>
          <c:orientation val="minMax"/>
        </c:scaling>
        <c:delete val="0"/>
        <c:axPos val="l"/>
        <c:numFmt formatCode="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7832640"/>
        <c:crosses val="autoZero"/>
        <c:crossBetween val="between"/>
      </c:valAx>
      <c:valAx>
        <c:axId val="1288803375"/>
        <c:scaling>
          <c:orientation val="minMax"/>
        </c:scaling>
        <c:delete val="0"/>
        <c:axPos val="r"/>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8804335"/>
        <c:crosses val="max"/>
        <c:crossBetween val="between"/>
      </c:valAx>
      <c:catAx>
        <c:axId val="1288804335"/>
        <c:scaling>
          <c:orientation val="minMax"/>
        </c:scaling>
        <c:delete val="1"/>
        <c:axPos val="b"/>
        <c:numFmt formatCode="General" sourceLinked="1"/>
        <c:majorTickMark val="none"/>
        <c:minorTickMark val="none"/>
        <c:tickLblPos val="nextTo"/>
        <c:crossAx val="128880337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19050">
      <a:solidFill>
        <a:schemeClr val="bg1">
          <a:lumMod val="9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[Q7.xlsx]Sheet2!Manager_Profit</c:name>
    <c:fmtId val="5"/>
  </c:pivotSource>
  <c:chart>
    <c:title>
      <c:tx>
        <c:rich>
          <a:bodyPr rot="0" spcFirstLastPara="1" vertOverflow="ellipsis" vert="horz" wrap="square" anchor="ctr" anchorCtr="1"/>
          <a:lstStyle/>
          <a:p>
            <a:pPr>
              <a:defRPr lang="en-US" sz="1080" b="0"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sz="1600" b="1">
                <a:solidFill>
                  <a:schemeClr val="bg1"/>
                </a:solidFill>
              </a:rPr>
              <a:t>Manager Wise Profits</a:t>
            </a:r>
          </a:p>
        </c:rich>
      </c:tx>
      <c:overlay val="0"/>
      <c:spPr>
        <a:noFill/>
        <a:ln>
          <a:noFill/>
        </a:ln>
        <a:effectLst/>
      </c:spPr>
      <c:txPr>
        <a:bodyPr rot="0" spcFirstLastPara="1" vertOverflow="ellipsis" vert="horz" wrap="square" anchor="ctr" anchorCtr="1"/>
        <a:lstStyle/>
        <a:p>
          <a:pPr>
            <a:defRPr lang="en-US" sz="1080" b="0"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Sheet2!$O$4</c:f>
              <c:strCache>
                <c:ptCount val="1"/>
                <c:pt idx="0">
                  <c:v>Total</c:v>
                </c:pt>
              </c:strCache>
            </c:strRef>
          </c:tx>
          <c:dPt>
            <c:idx val="0"/>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FF4-40E8-AF76-DA2D9585F7DA}"/>
              </c:ext>
            </c:extLst>
          </c:dPt>
          <c:dPt>
            <c:idx val="1"/>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FF4-40E8-AF76-DA2D9585F7DA}"/>
              </c:ext>
            </c:extLst>
          </c:dPt>
          <c:dPt>
            <c:idx val="2"/>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FF4-40E8-AF76-DA2D9585F7DA}"/>
              </c:ext>
            </c:extLst>
          </c:dPt>
          <c:dPt>
            <c:idx val="3"/>
            <c:bubble3D val="0"/>
            <c:spPr>
              <a:gradFill rotWithShape="1">
                <a:gsLst>
                  <a:gs pos="0">
                    <a:schemeClr val="dk1">
                      <a:tint val="98500"/>
                      <a:satMod val="103000"/>
                      <a:lumMod val="102000"/>
                      <a:tint val="94000"/>
                    </a:schemeClr>
                  </a:gs>
                  <a:gs pos="50000">
                    <a:schemeClr val="dk1">
                      <a:tint val="98500"/>
                      <a:satMod val="110000"/>
                      <a:lumMod val="100000"/>
                      <a:shade val="100000"/>
                    </a:schemeClr>
                  </a:gs>
                  <a:gs pos="100000">
                    <a:schemeClr val="dk1">
                      <a:tint val="985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FF4-40E8-AF76-DA2D9585F7DA}"/>
              </c:ext>
            </c:extLst>
          </c:dPt>
          <c:dLbls>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Sheet2!$N$5:$N$9</c:f>
              <c:strCache>
                <c:ptCount val="4"/>
                <c:pt idx="0">
                  <c:v>Chris</c:v>
                </c:pt>
                <c:pt idx="1">
                  <c:v>Erin</c:v>
                </c:pt>
                <c:pt idx="2">
                  <c:v>Sam</c:v>
                </c:pt>
                <c:pt idx="3">
                  <c:v>William</c:v>
                </c:pt>
              </c:strCache>
            </c:strRef>
          </c:cat>
          <c:val>
            <c:numRef>
              <c:f>Sheet2!$O$5:$O$9</c:f>
              <c:numCache>
                <c:formatCode>0.00,"M"</c:formatCode>
                <c:ptCount val="4"/>
                <c:pt idx="0">
                  <c:v>77365.472668600007</c:v>
                </c:pt>
                <c:pt idx="1">
                  <c:v>85291.403445999982</c:v>
                </c:pt>
                <c:pt idx="2">
                  <c:v>-14424.054379450004</c:v>
                </c:pt>
                <c:pt idx="3">
                  <c:v>75844.790101999999</c:v>
                </c:pt>
              </c:numCache>
            </c:numRef>
          </c:val>
          <c:extLst>
            <c:ext xmlns:c16="http://schemas.microsoft.com/office/drawing/2014/chart" uri="{C3380CC4-5D6E-409C-BE32-E72D297353CC}">
              <c16:uniqueId val="{00000008-3FF4-40E8-AF76-DA2D9585F7D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3800000" scaled="0"/>
      </a:gradFill>
    </a:ln>
    <a:effectLst>
      <a:innerShdw blurRad="63500" dist="50800" dir="8100000">
        <a:prstClr val="black">
          <a:alpha val="50000"/>
        </a:prstClr>
      </a:innerShdw>
    </a:effectLst>
    <a:scene3d>
      <a:camera prst="orthographicFront"/>
      <a:lightRig rig="threePt" dir="t"/>
    </a:scene3d>
    <a:sp3d>
      <a:bevelT/>
    </a:sp3d>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[Q7.xlsx]Sheet2!Top10_CNames Sales</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Customer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w="0">
            <a:solidFill>
              <a:schemeClr val="tx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Sheet2!$R$6</c:f>
              <c:strCache>
                <c:ptCount val="1"/>
                <c:pt idx="0">
                  <c:v>Total</c:v>
                </c:pt>
              </c:strCache>
            </c:strRef>
          </c:tx>
          <c:spPr>
            <a:solidFill>
              <a:srgbClr val="002060"/>
            </a:solidFill>
            <a:ln w="0">
              <a:solidFill>
                <a:schemeClr val="tx1"/>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Sheet2!$Q$7:$Q$17</c:f>
              <c:strCache>
                <c:ptCount val="10"/>
                <c:pt idx="0">
                  <c:v>Jeanette Davies</c:v>
                </c:pt>
                <c:pt idx="1">
                  <c:v>John Bray</c:v>
                </c:pt>
                <c:pt idx="2">
                  <c:v>Kristine Connolly</c:v>
                </c:pt>
                <c:pt idx="3">
                  <c:v>Lee Xu</c:v>
                </c:pt>
                <c:pt idx="4">
                  <c:v>Leroy Blanchard</c:v>
                </c:pt>
                <c:pt idx="5">
                  <c:v>Nina Horne Kelly</c:v>
                </c:pt>
                <c:pt idx="6">
                  <c:v>Rosemary O'Brien</c:v>
                </c:pt>
                <c:pt idx="7">
                  <c:v>Scott McKenna</c:v>
                </c:pt>
                <c:pt idx="8">
                  <c:v>Timothy Ross</c:v>
                </c:pt>
                <c:pt idx="9">
                  <c:v>Yvonne Mann</c:v>
                </c:pt>
              </c:strCache>
            </c:strRef>
          </c:cat>
          <c:val>
            <c:numRef>
              <c:f>Sheet2!$R$7:$R$17</c:f>
              <c:numCache>
                <c:formatCode>0.00,"M"</c:formatCode>
                <c:ptCount val="10"/>
                <c:pt idx="0">
                  <c:v>10180.01</c:v>
                </c:pt>
                <c:pt idx="1">
                  <c:v>11015.82</c:v>
                </c:pt>
                <c:pt idx="2">
                  <c:v>50475.31</c:v>
                </c:pt>
                <c:pt idx="3">
                  <c:v>20640.349999999999</c:v>
                </c:pt>
                <c:pt idx="4">
                  <c:v>12599.55</c:v>
                </c:pt>
                <c:pt idx="5">
                  <c:v>48295.12</c:v>
                </c:pt>
                <c:pt idx="6">
                  <c:v>29916.01</c:v>
                </c:pt>
                <c:pt idx="7">
                  <c:v>9580</c:v>
                </c:pt>
                <c:pt idx="8">
                  <c:v>9492.92</c:v>
                </c:pt>
                <c:pt idx="9">
                  <c:v>28779.13</c:v>
                </c:pt>
              </c:numCache>
            </c:numRef>
          </c:val>
          <c:extLst>
            <c:ext xmlns:c16="http://schemas.microsoft.com/office/drawing/2014/chart" uri="{C3380CC4-5D6E-409C-BE32-E72D297353CC}">
              <c16:uniqueId val="{00000000-3A16-4F77-90C2-16C6816FF2E5}"/>
            </c:ext>
          </c:extLst>
        </c:ser>
        <c:dLbls>
          <c:dLblPos val="inBase"/>
          <c:showLegendKey val="0"/>
          <c:showVal val="1"/>
          <c:showCatName val="0"/>
          <c:showSerName val="0"/>
          <c:showPercent val="0"/>
          <c:showBubbleSize val="0"/>
        </c:dLbls>
        <c:gapWidth val="150"/>
        <c:overlap val="100"/>
        <c:axId val="1118200447"/>
        <c:axId val="1118200927"/>
      </c:barChart>
      <c:catAx>
        <c:axId val="11182004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8200927"/>
        <c:crosses val="autoZero"/>
        <c:auto val="1"/>
        <c:lblAlgn val="ctr"/>
        <c:lblOffset val="100"/>
        <c:noMultiLvlLbl val="0"/>
      </c:catAx>
      <c:valAx>
        <c:axId val="1118200927"/>
        <c:scaling>
          <c:orientation val="minMax"/>
        </c:scaling>
        <c:delete val="0"/>
        <c:axPos val="b"/>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8200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gradFill>
        <a:gsLst>
          <a:gs pos="25000">
            <a:schemeClr val="accent1">
              <a:lumMod val="5000"/>
              <a:lumOff val="95000"/>
              <a:alpha val="89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3800000" scaled="0"/>
      </a:gradFill>
    </a:ln>
    <a:effectLst>
      <a:innerShdw blurRad="76200" dist="63500" dir="12000000">
        <a:prstClr val="black">
          <a:alpha val="40000"/>
        </a:prstClr>
      </a:inn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[Q7.xlsx]Sheet2!CSegment_Sales</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Customer Segment Wise Sales And Profit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4">
                <a:lumMod val="50000"/>
              </a:schemeClr>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Sheet2!$Y$7</c:f>
              <c:strCache>
                <c:ptCount val="1"/>
                <c:pt idx="0">
                  <c:v>Sum of Sales</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Sheet2!$X$8:$X$12</c:f>
              <c:strCache>
                <c:ptCount val="4"/>
                <c:pt idx="0">
                  <c:v>Consumer</c:v>
                </c:pt>
                <c:pt idx="1">
                  <c:v>Corporate</c:v>
                </c:pt>
                <c:pt idx="2">
                  <c:v>Home Office</c:v>
                </c:pt>
                <c:pt idx="3">
                  <c:v>Small Business</c:v>
                </c:pt>
              </c:strCache>
            </c:strRef>
          </c:cat>
          <c:val>
            <c:numRef>
              <c:f>Sheet2!$Y$8:$Y$12</c:f>
              <c:numCache>
                <c:formatCode>0.00,"M"</c:formatCode>
                <c:ptCount val="4"/>
                <c:pt idx="0">
                  <c:v>401778.37</c:v>
                </c:pt>
                <c:pt idx="1">
                  <c:v>657784.53</c:v>
                </c:pt>
                <c:pt idx="2">
                  <c:v>464481.04</c:v>
                </c:pt>
                <c:pt idx="3">
                  <c:v>400293.94</c:v>
                </c:pt>
              </c:numCache>
            </c:numRef>
          </c:val>
          <c:smooth val="0"/>
          <c:extLst>
            <c:ext xmlns:c16="http://schemas.microsoft.com/office/drawing/2014/chart" uri="{C3380CC4-5D6E-409C-BE32-E72D297353CC}">
              <c16:uniqueId val="{00000000-A16F-4882-B0EF-D01868F3E9FF}"/>
            </c:ext>
          </c:extLst>
        </c:ser>
        <c:ser>
          <c:idx val="1"/>
          <c:order val="1"/>
          <c:tx>
            <c:strRef>
              <c:f>Sheet2!$Z$7</c:f>
              <c:strCache>
                <c:ptCount val="1"/>
                <c:pt idx="0">
                  <c:v>Sum of Profit</c:v>
                </c:pt>
              </c:strCache>
            </c:strRef>
          </c:tx>
          <c:spPr>
            <a:ln w="22225" cap="rnd">
              <a:solidFill>
                <a:schemeClr val="accent4">
                  <a:lumMod val="50000"/>
                </a:schemeClr>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Sheet2!$X$8:$X$12</c:f>
              <c:strCache>
                <c:ptCount val="4"/>
                <c:pt idx="0">
                  <c:v>Consumer</c:v>
                </c:pt>
                <c:pt idx="1">
                  <c:v>Corporate</c:v>
                </c:pt>
                <c:pt idx="2">
                  <c:v>Home Office</c:v>
                </c:pt>
                <c:pt idx="3">
                  <c:v>Small Business</c:v>
                </c:pt>
              </c:strCache>
            </c:strRef>
          </c:cat>
          <c:val>
            <c:numRef>
              <c:f>Sheet2!$Z$8:$Z$12</c:f>
              <c:numCache>
                <c:formatCode>0.00,"M"</c:formatCode>
                <c:ptCount val="4"/>
                <c:pt idx="0">
                  <c:v>49894.990272600007</c:v>
                </c:pt>
                <c:pt idx="1">
                  <c:v>54444.191002400024</c:v>
                </c:pt>
                <c:pt idx="2">
                  <c:v>54433.520870920125</c:v>
                </c:pt>
                <c:pt idx="3">
                  <c:v>65304.909691229906</c:v>
                </c:pt>
              </c:numCache>
            </c:numRef>
          </c:val>
          <c:smooth val="0"/>
          <c:extLst>
            <c:ext xmlns:c16="http://schemas.microsoft.com/office/drawing/2014/chart" uri="{C3380CC4-5D6E-409C-BE32-E72D297353CC}">
              <c16:uniqueId val="{00000001-A16F-4882-B0EF-D01868F3E9FF}"/>
            </c:ext>
          </c:extLst>
        </c:ser>
        <c:dLbls>
          <c:showLegendKey val="0"/>
          <c:showVal val="0"/>
          <c:showCatName val="0"/>
          <c:showSerName val="0"/>
          <c:showPercent val="0"/>
          <c:showBubbleSize val="0"/>
        </c:dLbls>
        <c:marker val="1"/>
        <c:smooth val="0"/>
        <c:axId val="844333696"/>
        <c:axId val="844341856"/>
      </c:lineChart>
      <c:catAx>
        <c:axId val="844333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44341856"/>
        <c:crosses val="autoZero"/>
        <c:auto val="1"/>
        <c:lblAlgn val="ctr"/>
        <c:lblOffset val="100"/>
        <c:noMultiLvlLbl val="0"/>
      </c:catAx>
      <c:valAx>
        <c:axId val="844341856"/>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44333696"/>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3800000" scaled="0"/>
      </a:gradFill>
      <a:round/>
    </a:ln>
    <a:effectLst>
      <a:innerShdw blurRad="63500" dist="50800" dir="8100000">
        <a:prstClr val="black">
          <a:alpha val="50000"/>
        </a:prstClr>
      </a:inn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49</xdr:col>
      <xdr:colOff>441960</xdr:colOff>
      <xdr:row>4</xdr:row>
      <xdr:rowOff>114300</xdr:rowOff>
    </xdr:from>
    <xdr:to>
      <xdr:col>53</xdr:col>
      <xdr:colOff>213360</xdr:colOff>
      <xdr:row>19</xdr:row>
      <xdr:rowOff>114300</xdr:rowOff>
    </xdr:to>
    <xdr:graphicFrame macro="">
      <xdr:nvGraphicFramePr>
        <xdr:cNvPr id="15" name="Chart 14">
          <a:extLst>
            <a:ext uri="{FF2B5EF4-FFF2-40B4-BE49-F238E27FC236}">
              <a16:creationId xmlns:a16="http://schemas.microsoft.com/office/drawing/2014/main" id="{C63C749F-1FD7-244B-1586-1DB00379BC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206162</xdr:colOff>
      <xdr:row>20</xdr:row>
      <xdr:rowOff>145204</xdr:rowOff>
    </xdr:from>
    <xdr:to>
      <xdr:col>10</xdr:col>
      <xdr:colOff>1030211</xdr:colOff>
      <xdr:row>34</xdr:row>
      <xdr:rowOff>54822</xdr:rowOff>
    </xdr:to>
    <mc:AlternateContent xmlns:mc="http://schemas.openxmlformats.org/markup-compatibility/2006" xmlns:a14="http://schemas.microsoft.com/office/drawing/2010/main">
      <mc:Choice Requires="a14">
        <xdr:graphicFrame macro="">
          <xdr:nvGraphicFramePr>
            <xdr:cNvPr id="19" name="Customer Segment">
              <a:extLst>
                <a:ext uri="{FF2B5EF4-FFF2-40B4-BE49-F238E27FC236}">
                  <a16:creationId xmlns:a16="http://schemas.microsoft.com/office/drawing/2014/main" id="{CB7ADEF9-B7D1-F8F9-A366-A2F170A0D6EF}"/>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7148829" y="3743537"/>
              <a:ext cx="1827954" cy="24284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298027</xdr:colOff>
      <xdr:row>12</xdr:row>
      <xdr:rowOff>119380</xdr:rowOff>
    </xdr:from>
    <xdr:to>
      <xdr:col>15</xdr:col>
      <xdr:colOff>261136</xdr:colOff>
      <xdr:row>26</xdr:row>
      <xdr:rowOff>67522</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CFDB1100-B4F1-0135-4507-4F88C9FB308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881360" y="2278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544796</xdr:colOff>
      <xdr:row>9</xdr:row>
      <xdr:rowOff>163037</xdr:rowOff>
    </xdr:from>
    <xdr:to>
      <xdr:col>28</xdr:col>
      <xdr:colOff>138275</xdr:colOff>
      <xdr:row>58</xdr:row>
      <xdr:rowOff>115379</xdr:rowOff>
    </xdr:to>
    <xdr:sp macro="" textlink="">
      <xdr:nvSpPr>
        <xdr:cNvPr id="4" name="Rectangle 3">
          <a:extLst>
            <a:ext uri="{FF2B5EF4-FFF2-40B4-BE49-F238E27FC236}">
              <a16:creationId xmlns:a16="http://schemas.microsoft.com/office/drawing/2014/main" id="{A1A2E2D0-5400-0AB0-A22F-07214B49BD51}"/>
            </a:ext>
          </a:extLst>
        </xdr:cNvPr>
        <xdr:cNvSpPr/>
      </xdr:nvSpPr>
      <xdr:spPr>
        <a:xfrm>
          <a:off x="6075441" y="1711618"/>
          <a:ext cx="11269286" cy="8383503"/>
        </a:xfrm>
        <a:prstGeom prst="rect">
          <a:avLst/>
        </a:prstGeom>
        <a:solidFill>
          <a:schemeClr val="tx1"/>
        </a:solidFill>
        <a:ln>
          <a:gradFill>
            <a:gsLst>
              <a:gs pos="2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3800000" scaled="0"/>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556671</xdr:colOff>
      <xdr:row>7</xdr:row>
      <xdr:rowOff>62379</xdr:rowOff>
    </xdr:from>
    <xdr:to>
      <xdr:col>28</xdr:col>
      <xdr:colOff>126369</xdr:colOff>
      <xdr:row>9</xdr:row>
      <xdr:rowOff>146482</xdr:rowOff>
    </xdr:to>
    <xdr:sp macro="" textlink="">
      <xdr:nvSpPr>
        <xdr:cNvPr id="5" name="Rectangle 4">
          <a:extLst>
            <a:ext uri="{FF2B5EF4-FFF2-40B4-BE49-F238E27FC236}">
              <a16:creationId xmlns:a16="http://schemas.microsoft.com/office/drawing/2014/main" id="{04985D77-912B-12B6-85A9-3B62BBF6D97A}"/>
            </a:ext>
          </a:extLst>
        </xdr:cNvPr>
        <xdr:cNvSpPr/>
      </xdr:nvSpPr>
      <xdr:spPr>
        <a:xfrm>
          <a:off x="6087316" y="1266831"/>
          <a:ext cx="11245505" cy="428232"/>
        </a:xfrm>
        <a:prstGeom prst="rect">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i="1"/>
            <a:t>DASHBOARD OF SALES</a:t>
          </a:r>
          <a:r>
            <a:rPr lang="en-IN" sz="3200" b="1" i="1" baseline="0"/>
            <a:t> DATA </a:t>
          </a:r>
          <a:endParaRPr lang="en-IN" sz="3200" b="1" i="1"/>
        </a:p>
      </xdr:txBody>
    </xdr:sp>
    <xdr:clientData/>
  </xdr:twoCellAnchor>
  <xdr:twoCellAnchor>
    <xdr:from>
      <xdr:col>10</xdr:col>
      <xdr:colOff>177719</xdr:colOff>
      <xdr:row>29</xdr:row>
      <xdr:rowOff>94644</xdr:rowOff>
    </xdr:from>
    <xdr:to>
      <xdr:col>14</xdr:col>
      <xdr:colOff>524222</xdr:colOff>
      <xdr:row>42</xdr:row>
      <xdr:rowOff>523</xdr:rowOff>
    </xdr:to>
    <xdr:graphicFrame macro="">
      <xdr:nvGraphicFramePr>
        <xdr:cNvPr id="6" name="Chart 5">
          <a:extLst>
            <a:ext uri="{FF2B5EF4-FFF2-40B4-BE49-F238E27FC236}">
              <a16:creationId xmlns:a16="http://schemas.microsoft.com/office/drawing/2014/main" id="{C1FF719A-2BD2-43DE-B622-E17A9CC2F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245851</xdr:colOff>
      <xdr:row>44</xdr:row>
      <xdr:rowOff>22246</xdr:rowOff>
    </xdr:from>
    <xdr:to>
      <xdr:col>28</xdr:col>
      <xdr:colOff>38798</xdr:colOff>
      <xdr:row>56</xdr:row>
      <xdr:rowOff>113686</xdr:rowOff>
    </xdr:to>
    <xdr:graphicFrame macro="">
      <xdr:nvGraphicFramePr>
        <xdr:cNvPr id="7" name="Chart 6">
          <a:extLst>
            <a:ext uri="{FF2B5EF4-FFF2-40B4-BE49-F238E27FC236}">
              <a16:creationId xmlns:a16="http://schemas.microsoft.com/office/drawing/2014/main" id="{83526A65-FECE-40DB-AACC-9AAFA8AFBF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291880</xdr:colOff>
      <xdr:row>11</xdr:row>
      <xdr:rowOff>101305</xdr:rowOff>
    </xdr:from>
    <xdr:to>
      <xdr:col>28</xdr:col>
      <xdr:colOff>55660</xdr:colOff>
      <xdr:row>26</xdr:row>
      <xdr:rowOff>33008</xdr:rowOff>
    </xdr:to>
    <xdr:graphicFrame macro="">
      <xdr:nvGraphicFramePr>
        <xdr:cNvPr id="8" name="Chart 7">
          <a:extLst>
            <a:ext uri="{FF2B5EF4-FFF2-40B4-BE49-F238E27FC236}">
              <a16:creationId xmlns:a16="http://schemas.microsoft.com/office/drawing/2014/main" id="{EA7523FB-2538-4460-8FF5-842586D133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179851</xdr:colOff>
      <xdr:row>11</xdr:row>
      <xdr:rowOff>152203</xdr:rowOff>
    </xdr:from>
    <xdr:to>
      <xdr:col>21</xdr:col>
      <xdr:colOff>57932</xdr:colOff>
      <xdr:row>26</xdr:row>
      <xdr:rowOff>56340</xdr:rowOff>
    </xdr:to>
    <xdr:graphicFrame macro="">
      <xdr:nvGraphicFramePr>
        <xdr:cNvPr id="9" name="Chart 8">
          <a:extLst>
            <a:ext uri="{FF2B5EF4-FFF2-40B4-BE49-F238E27FC236}">
              <a16:creationId xmlns:a16="http://schemas.microsoft.com/office/drawing/2014/main" id="{5E792DE7-88E8-423B-A851-BAD80847A5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368757</xdr:colOff>
      <xdr:row>28</xdr:row>
      <xdr:rowOff>75954</xdr:rowOff>
    </xdr:from>
    <xdr:to>
      <xdr:col>28</xdr:col>
      <xdr:colOff>75418</xdr:colOff>
      <xdr:row>43</xdr:row>
      <xdr:rowOff>85600</xdr:rowOff>
    </xdr:to>
    <xdr:graphicFrame macro="">
      <xdr:nvGraphicFramePr>
        <xdr:cNvPr id="10" name="Chart 9">
          <a:extLst>
            <a:ext uri="{FF2B5EF4-FFF2-40B4-BE49-F238E27FC236}">
              <a16:creationId xmlns:a16="http://schemas.microsoft.com/office/drawing/2014/main" id="{CA0B29EB-E264-47A6-848B-AF359D908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133189</xdr:colOff>
      <xdr:row>42</xdr:row>
      <xdr:rowOff>168004</xdr:rowOff>
    </xdr:from>
    <xdr:to>
      <xdr:col>19</xdr:col>
      <xdr:colOff>428508</xdr:colOff>
      <xdr:row>57</xdr:row>
      <xdr:rowOff>162216</xdr:rowOff>
    </xdr:to>
    <xdr:graphicFrame macro="">
      <xdr:nvGraphicFramePr>
        <xdr:cNvPr id="11" name="Chart 10">
          <a:extLst>
            <a:ext uri="{FF2B5EF4-FFF2-40B4-BE49-F238E27FC236}">
              <a16:creationId xmlns:a16="http://schemas.microsoft.com/office/drawing/2014/main" id="{9374D023-3464-4888-8193-F644F4BD7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347987</xdr:colOff>
      <xdr:row>30</xdr:row>
      <xdr:rowOff>66331</xdr:rowOff>
    </xdr:from>
    <xdr:to>
      <xdr:col>20</xdr:col>
      <xdr:colOff>73938</xdr:colOff>
      <xdr:row>37</xdr:row>
      <xdr:rowOff>134514</xdr:rowOff>
    </xdr:to>
    <xdr:sp macro="" textlink="">
      <xdr:nvSpPr>
        <xdr:cNvPr id="12" name="Rectangle 11">
          <a:extLst>
            <a:ext uri="{FF2B5EF4-FFF2-40B4-BE49-F238E27FC236}">
              <a16:creationId xmlns:a16="http://schemas.microsoft.com/office/drawing/2014/main" id="{85FDA901-1F3F-4FAA-96F1-D4D395B7A84B}"/>
            </a:ext>
          </a:extLst>
        </xdr:cNvPr>
        <xdr:cNvSpPr/>
      </xdr:nvSpPr>
      <xdr:spPr>
        <a:xfrm>
          <a:off x="9565729" y="5228266"/>
          <a:ext cx="2798532" cy="1272635"/>
        </a:xfrm>
        <a:prstGeom prst="rect">
          <a:avLst/>
        </a:prstGeom>
        <a:solidFill>
          <a:schemeClr val="tx1"/>
        </a:solidFill>
        <a:ln w="19050">
          <a:solidFill>
            <a:schemeClr val="bg1"/>
          </a:solidFill>
        </a:ln>
        <a:effectLst>
          <a:innerShdw blurRad="63500" dist="50800" dir="6300000">
            <a:prstClr val="black">
              <a:alpha val="50000"/>
            </a:prstClr>
          </a:inn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t>Total Sales:1.92M</a:t>
          </a:r>
        </a:p>
      </xdr:txBody>
    </xdr:sp>
    <xdr:clientData/>
  </xdr:twoCellAnchor>
  <xdr:twoCellAnchor editAs="oneCell">
    <xdr:from>
      <xdr:col>10</xdr:col>
      <xdr:colOff>128721</xdr:colOff>
      <xdr:row>10</xdr:row>
      <xdr:rowOff>125757</xdr:rowOff>
    </xdr:from>
    <xdr:to>
      <xdr:col>14</xdr:col>
      <xdr:colOff>532704</xdr:colOff>
      <xdr:row>18</xdr:row>
      <xdr:rowOff>167476</xdr:rowOff>
    </xdr:to>
    <mc:AlternateContent xmlns:mc="http://schemas.openxmlformats.org/markup-compatibility/2006">
      <mc:Choice xmlns:a14="http://schemas.microsoft.com/office/drawing/2010/main" Requires="a14">
        <xdr:graphicFrame macro="">
          <xdr:nvGraphicFramePr>
            <xdr:cNvPr id="13" name="Customer Segment 1">
              <a:extLst>
                <a:ext uri="{FF2B5EF4-FFF2-40B4-BE49-F238E27FC236}">
                  <a16:creationId xmlns:a16="http://schemas.microsoft.com/office/drawing/2014/main" id="{E9139215-39CC-4922-8458-E2B59729EB03}"/>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dr:sp macro="" textlink="">
          <xdr:nvSpPr>
            <xdr:cNvPr id="0" name=""/>
            <xdr:cNvSpPr>
              <a:spLocks noTextEdit="1"/>
            </xdr:cNvSpPr>
          </xdr:nvSpPr>
          <xdr:spPr>
            <a:xfrm>
              <a:off x="6196499" y="1960201"/>
              <a:ext cx="2831094" cy="1509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125535</xdr:colOff>
      <xdr:row>19</xdr:row>
      <xdr:rowOff>119094</xdr:rowOff>
    </xdr:from>
    <xdr:to>
      <xdr:col>14</xdr:col>
      <xdr:colOff>525274</xdr:colOff>
      <xdr:row>28</xdr:row>
      <xdr:rowOff>56485</xdr:rowOff>
    </xdr:to>
    <mc:AlternateContent xmlns:mc="http://schemas.openxmlformats.org/markup-compatibility/2006">
      <mc:Choice xmlns:a14="http://schemas.microsoft.com/office/drawing/2010/main" Requires="a14">
        <xdr:graphicFrame macro="">
          <xdr:nvGraphicFramePr>
            <xdr:cNvPr id="2" name="Region 1">
              <a:extLst>
                <a:ext uri="{FF2B5EF4-FFF2-40B4-BE49-F238E27FC236}">
                  <a16:creationId xmlns:a16="http://schemas.microsoft.com/office/drawing/2014/main" id="{5BF92CDA-FD2E-4199-80B0-BBE6E9BB4F0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6193313" y="3604538"/>
              <a:ext cx="2826850" cy="15883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94.966778819442" createdVersion="5" refreshedVersion="8" minRefreshableVersion="3" recordCount="0" supportSubquery="1" supportAdvancedDrill="1" xr:uid="{BD19F334-0DF4-46CB-995B-C07ADA31A425}">
  <cacheSource type="external" connectionId="2"/>
  <cacheFields count="5">
    <cacheField name="[Orders].[Customer Name].[Customer Name]" caption="Customer Name" numFmtId="0" hierarchy="6" level="1">
      <sharedItems count="10">
        <s v="Jeanette Davies"/>
        <s v="John Bray"/>
        <s v="Kristine Connolly"/>
        <s v="Lee Xu"/>
        <s v="Leroy Blanchard"/>
        <s v="Nina Horne Kelly"/>
        <s v="Rosemary O'Brien"/>
        <s v="Scott McKenna"/>
        <s v="Timothy Ross"/>
        <s v="Yvonne Mann"/>
      </sharedItems>
    </cacheField>
    <cacheField name="[Orders].[City].[City]" caption="City" numFmtId="0" hierarchy="17" level="1">
      <sharedItems count="10">
        <s v="Boston"/>
        <s v="Chicago"/>
        <s v="Detroit"/>
        <s v="Los Angeles"/>
        <s v="Madison"/>
        <s v="Miami"/>
        <s v="New York City"/>
        <s v="Philadelphia"/>
        <s v="Seattle"/>
        <s v="Washington"/>
      </sharedItems>
    </cacheField>
    <cacheField name="[Orders].[Customer Segment].[Customer Segment]" caption="Customer Segment" numFmtId="0" hierarchy="8" level="1">
      <sharedItems count="4">
        <s v="Consumer"/>
        <s v="Corporate"/>
        <s v="Home Office"/>
        <s v="Small Business"/>
      </sharedItems>
    </cacheField>
    <cacheField name="[Measures].[Sum of Sales]" caption="Sum of Sales" numFmtId="0" hierarchy="33" level="32767"/>
    <cacheField name="[Measures].[Sum of Profit]" caption="Sum of Profit" numFmtId="0" hierarchy="37" level="32767"/>
  </cacheFields>
  <cacheHierarchies count="44">
    <cacheHierarchy uniqueName="[Orders].[Row ID]" caption="Row ID" attribute="1" defaultMemberUniqueName="[Orders].[Row ID].[All]" allUniqueName="[Orders].[Row ID].[All]" dimensionUniqueName="[Orders]" displayFolder="" count="2" memberValueDatatype="5"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5"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2"/>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2" memberValueDatatype="5"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5"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5" unbalanced="0"/>
    <cacheHierarchy uniqueName="[Returns].[Order ID]" caption="Order ID" attribute="1" defaultMemberUniqueName="[Returns].[Order ID].[All]" allUniqueName="[Returns].[Order ID].[All]" dimensionUniqueName="[Returns]" displayFolder="" count="2" memberValueDatatype="5"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3"/>
      </fieldsUsage>
      <extLst>
        <ext xmlns:x15="http://schemas.microsoft.com/office/spreadsheetml/2010/11/main" uri="{B97F6D7D-B522-45F9-BDA1-12C45D357490}">
          <x15:cacheHierarchy aggregatedColumn="23"/>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Profit]" caption="Sum of Profit" measure="1" displayFolder="" measureGroup="Orders" count="0" oneField="1" hidden="1">
      <fieldsUsage count="1">
        <fieldUsage x="4"/>
      </fieldsUsage>
      <extLst>
        <ext xmlns:x15="http://schemas.microsoft.com/office/spreadsheetml/2010/11/main" uri="{B97F6D7D-B522-45F9-BDA1-12C45D357490}">
          <x15:cacheHierarchy aggregatedColumn="21"/>
        </ext>
      </extLst>
    </cacheHierarchy>
    <cacheHierarchy uniqueName="[Measures].[Average of Sales]" caption="Average of Sales" measure="1" displayFolder="" measureGroup="Orders" count="0" hidden="1">
      <extLst>
        <ext xmlns:x15="http://schemas.microsoft.com/office/spreadsheetml/2010/11/main" uri="{B97F6D7D-B522-45F9-BDA1-12C45D357490}">
          <x15:cacheHierarchy aggregatedColumn="23"/>
        </ext>
      </extLst>
    </cacheHierarchy>
    <cacheHierarchy uniqueName="[Measures].[Sum of Customer ID]" caption="Sum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Postal Code]" caption="Sum of Postal Code" measure="1" displayFolder="" measureGroup="Orders" count="0" hidden="1">
      <extLst>
        <ext xmlns:x15="http://schemas.microsoft.com/office/spreadsheetml/2010/11/main" uri="{B97F6D7D-B522-45F9-BDA1-12C45D357490}">
          <x15:cacheHierarchy aggregatedColumn="18"/>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5"/>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94.96677939815" createdVersion="5" refreshedVersion="8" minRefreshableVersion="3" recordCount="0" supportSubquery="1" supportAdvancedDrill="1" xr:uid="{B4733A91-FBE6-40A6-8567-D44EED69B742}">
  <cacheSource type="external" connectionId="2"/>
  <cacheFields count="5">
    <cacheField name="[Orders].[Customer Name].[Customer Name]" caption="Customer Name" numFmtId="0" hierarchy="6" level="1">
      <sharedItems count="10">
        <s v="Jeanette Davies"/>
        <s v="John Bray"/>
        <s v="Kristine Connolly"/>
        <s v="Lee Xu"/>
        <s v="Leroy Blanchard"/>
        <s v="Nina Horne Kelly"/>
        <s v="Rosemary O'Brien"/>
        <s v="Scott McKenna"/>
        <s v="Timothy Ross"/>
        <s v="Yvonne Mann"/>
      </sharedItems>
    </cacheField>
    <cacheField name="[Orders].[City].[City]" caption="City" numFmtId="0" hierarchy="17" level="1">
      <sharedItems count="10">
        <s v="Boston"/>
        <s v="Chicago"/>
        <s v="Detroit"/>
        <s v="Los Angeles"/>
        <s v="Madison"/>
        <s v="Miami"/>
        <s v="New York City"/>
        <s v="Philadelphia"/>
        <s v="Seattle"/>
        <s v="Washington"/>
      </sharedItems>
    </cacheField>
    <cacheField name="[Measures].[Sum of Sales]" caption="Sum of Sales" numFmtId="0" hierarchy="33" level="32767"/>
    <cacheField name="[Measures].[Sum of Profit]" caption="Sum of Profit" numFmtId="0" hierarchy="37" level="32767"/>
    <cacheField name="[Orders].[Customer Segment].[Customer Segment]" caption="Customer Segment" numFmtId="0" hierarchy="8" level="1">
      <sharedItems containsSemiMixedTypes="0" containsNonDate="0" containsString="0"/>
    </cacheField>
  </cacheFields>
  <cacheHierarchies count="44">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4"/>
      </fieldsUsage>
    </cacheHierarchy>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Profit]" caption="Sum of Profit"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y uniqueName="[Measures].[Average of Sales]" caption="Average of Sales" measure="1" displayFolder="" measureGroup="Orders" count="0" hidden="1">
      <extLst>
        <ext xmlns:x15="http://schemas.microsoft.com/office/spreadsheetml/2010/11/main" uri="{B97F6D7D-B522-45F9-BDA1-12C45D357490}">
          <x15:cacheHierarchy aggregatedColumn="23"/>
        </ext>
      </extLst>
    </cacheHierarchy>
    <cacheHierarchy uniqueName="[Measures].[Sum of Customer ID]" caption="Sum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Postal Code]" caption="Sum of Postal Code" measure="1" displayFolder="" measureGroup="Orders" count="0" hidden="1">
      <extLst>
        <ext xmlns:x15="http://schemas.microsoft.com/office/spreadsheetml/2010/11/main" uri="{B97F6D7D-B522-45F9-BDA1-12C45D357490}">
          <x15:cacheHierarchy aggregatedColumn="18"/>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5"/>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94.966780092589" createdVersion="5" refreshedVersion="8" minRefreshableVersion="3" recordCount="0" supportSubquery="1" supportAdvancedDrill="1" xr:uid="{1DCF80B9-54C4-490B-97D1-BECA097BE168}">
  <cacheSource type="external" connectionId="2"/>
  <cacheFields count="4">
    <cacheField name="[Orders].[Customer Name].[Customer Name]" caption="Customer Name" numFmtId="0" hierarchy="6" level="1">
      <sharedItems count="10">
        <s v="Jeanette Davies"/>
        <s v="John Bray"/>
        <s v="Kristine Connolly"/>
        <s v="Lee Xu"/>
        <s v="Leroy Blanchard"/>
        <s v="Nina Horne Kelly"/>
        <s v="Rosemary O'Brien"/>
        <s v="Scott McKenna"/>
        <s v="Timothy Ross"/>
        <s v="Yvonne Mann"/>
      </sharedItems>
    </cacheField>
    <cacheField name="[Orders].[City].[City]" caption="City" numFmtId="0" hierarchy="17" level="1">
      <sharedItems count="11">
        <s v="Boston"/>
        <s v="Chicago"/>
        <s v="Detroit"/>
        <s v="Los Angeles"/>
        <s v="Madison"/>
        <s v="Miami"/>
        <s v="New York City"/>
        <s v="Philadelphia"/>
        <s v="Seattle"/>
        <s v="Washington"/>
        <s v="Greenville" u="1"/>
      </sharedItems>
    </cacheField>
    <cacheField name="[Measures].[Sum of Unit Price]" caption="Sum of Unit Price" numFmtId="0" hierarchy="36" level="32767"/>
    <cacheField name="[Orders].[Customer Segment].[Customer Segment]" caption="Customer Segment" numFmtId="0" hierarchy="8" level="1">
      <sharedItems containsSemiMixedTypes="0" containsNonDate="0" containsString="0"/>
    </cacheField>
  </cacheFields>
  <cacheHierarchies count="44">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3"/>
      </fieldsUsage>
    </cacheHierarchy>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Sum of Unit Price]" caption="Sum of Unit Price" measure="1" displayFolder="" measureGroup="Orders"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Average of Sales]" caption="Average of Sales" measure="1" displayFolder="" measureGroup="Orders" count="0" hidden="1">
      <extLst>
        <ext xmlns:x15="http://schemas.microsoft.com/office/spreadsheetml/2010/11/main" uri="{B97F6D7D-B522-45F9-BDA1-12C45D357490}">
          <x15:cacheHierarchy aggregatedColumn="23"/>
        </ext>
      </extLst>
    </cacheHierarchy>
    <cacheHierarchy uniqueName="[Measures].[Sum of Customer ID]" caption="Sum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Postal Code]" caption="Sum of Postal Code" measure="1" displayFolder="" measureGroup="Orders" count="0" hidden="1">
      <extLst>
        <ext xmlns:x15="http://schemas.microsoft.com/office/spreadsheetml/2010/11/main" uri="{B97F6D7D-B522-45F9-BDA1-12C45D357490}">
          <x15:cacheHierarchy aggregatedColumn="18"/>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5"/>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94.966780555558" createdVersion="5" refreshedVersion="8" minRefreshableVersion="3" recordCount="0" supportSubquery="1" supportAdvancedDrill="1" xr:uid="{1E5F1482-4FC2-498B-AFDA-0C6C6CB03C1B}">
  <cacheSource type="external" connectionId="2"/>
  <cacheFields count="3">
    <cacheField name="[Users].[Manager].[Manager]" caption="Manager" numFmtId="0" hierarchy="28" level="1">
      <sharedItems count="4">
        <s v="Chris"/>
        <s v="Erin"/>
        <s v="Sam"/>
        <s v="William"/>
      </sharedItems>
    </cacheField>
    <cacheField name="[Measures].[Sum of Profit]" caption="Sum of Profit" numFmtId="0" hierarchy="37" level="32767"/>
    <cacheField name="[Orders].[Customer Segment].[Customer Segment]" caption="Customer Segment" numFmtId="0" hierarchy="8" level="1">
      <sharedItems containsSemiMixedTypes="0" containsNonDate="0" containsString="0"/>
    </cacheField>
  </cacheFields>
  <cacheHierarchies count="44">
    <cacheHierarchy uniqueName="[Orders].[Row ID]" caption="Row ID" attribute="1" defaultMemberUniqueName="[Orders].[Row ID].[All]" allUniqueName="[Orders].[Row ID].[All]" dimensionUniqueName="[Orders]" displayFolder="" count="2" memberValueDatatype="5"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5"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2"/>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5"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5"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5" unbalanced="0"/>
    <cacheHierarchy uniqueName="[Returns].[Order ID]" caption="Order ID" attribute="1" defaultMemberUniqueName="[Returns].[Order ID].[All]" allUniqueName="[Returns].[Order ID].[All]" dimensionUniqueName="[Returns]" displayFolder="" count="2" memberValueDatatype="5"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fieldsUsage count="2">
        <fieldUsage x="-1"/>
        <fieldUsage x="0"/>
      </fieldsUsage>
    </cacheHierarchy>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Average of Sales]" caption="Average of Sales" measure="1" displayFolder="" measureGroup="Orders" count="0" hidden="1">
      <extLst>
        <ext xmlns:x15="http://schemas.microsoft.com/office/spreadsheetml/2010/11/main" uri="{B97F6D7D-B522-45F9-BDA1-12C45D357490}">
          <x15:cacheHierarchy aggregatedColumn="23"/>
        </ext>
      </extLst>
    </cacheHierarchy>
    <cacheHierarchy uniqueName="[Measures].[Sum of Customer ID]" caption="Sum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Postal Code]" caption="Sum of Postal Code" measure="1" displayFolder="" measureGroup="Orders" count="0" hidden="1">
      <extLst>
        <ext xmlns:x15="http://schemas.microsoft.com/office/spreadsheetml/2010/11/main" uri="{B97F6D7D-B522-45F9-BDA1-12C45D357490}">
          <x15:cacheHierarchy aggregatedColumn="18"/>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5"/>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94.966780787036" createdVersion="5" refreshedVersion="8" minRefreshableVersion="3" recordCount="0" supportSubquery="1" supportAdvancedDrill="1" xr:uid="{AD36E9FA-A14D-4DD6-9114-ABF9AA8F50AB}">
  <cacheSource type="external" connectionId="2"/>
  <cacheFields count="4">
    <cacheField name="[Orders].[Order Priority].[Order Priority]" caption="Order Priority" numFmtId="0" hierarchy="1" level="1">
      <sharedItems count="5">
        <s v="Critical"/>
        <s v="High"/>
        <s v="Low"/>
        <s v="Medium"/>
        <s v="Not Specified"/>
      </sharedItems>
    </cacheField>
    <cacheField name="[Measures].[Sum of Discount]" caption="Sum of Discount" numFmtId="0" hierarchy="34" level="32767"/>
    <cacheField name="[Measures].[Sum of Unit Price]" caption="Sum of Unit Price" numFmtId="0" hierarchy="36" level="32767"/>
    <cacheField name="[Orders].[Customer Segment].[Customer Segment]" caption="Customer Segment" numFmtId="0" hierarchy="8" level="1">
      <sharedItems containsSemiMixedTypes="0" containsNonDate="0" containsString="0"/>
    </cacheField>
  </cacheFields>
  <cacheHierarchies count="44">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2" memberValueDatatype="130" unbalanced="0">
      <fieldsUsage count="2">
        <fieldUsage x="-1"/>
        <fieldUsage x="0"/>
      </fieldsUsage>
    </cacheHierarchy>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3"/>
      </fieldsUsage>
    </cacheHierarchy>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Orders"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Sum of Unit Price]" caption="Sum of Unit Price" measure="1" displayFolder="" measureGroup="Orders"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Average of Sales]" caption="Average of Sales" measure="1" displayFolder="" measureGroup="Orders" count="0" hidden="1">
      <extLst>
        <ext xmlns:x15="http://schemas.microsoft.com/office/spreadsheetml/2010/11/main" uri="{B97F6D7D-B522-45F9-BDA1-12C45D357490}">
          <x15:cacheHierarchy aggregatedColumn="23"/>
        </ext>
      </extLst>
    </cacheHierarchy>
    <cacheHierarchy uniqueName="[Measures].[Sum of Customer ID]" caption="Sum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Postal Code]" caption="Sum of Postal Code" measure="1" displayFolder="" measureGroup="Orders" count="0" hidden="1">
      <extLst>
        <ext xmlns:x15="http://schemas.microsoft.com/office/spreadsheetml/2010/11/main" uri="{B97F6D7D-B522-45F9-BDA1-12C45D357490}">
          <x15:cacheHierarchy aggregatedColumn="18"/>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5"/>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94.966781249997" createdVersion="5" refreshedVersion="8" minRefreshableVersion="3" recordCount="0" supportSubquery="1" supportAdvancedDrill="1" xr:uid="{FD3078CC-04A2-4C79-9902-E696BDFEFBDF}">
  <cacheSource type="external" connectionId="2"/>
  <cacheFields count="4">
    <cacheField name="[Measures].[Sum of Discount]" caption="Sum of Discount" numFmtId="0" hierarchy="34" level="32767"/>
    <cacheField name="[Measures].[Sum of Sales]" caption="Sum of Sales" numFmtId="0" hierarchy="33" level="32767"/>
    <cacheField name="[Users].[Region].[Region]" caption="Region" numFmtId="0" hierarchy="27" level="1">
      <sharedItems count="4">
        <s v="Central"/>
        <s v="East"/>
        <s v="South"/>
        <s v="West"/>
      </sharedItems>
    </cacheField>
    <cacheField name="[Orders].[Customer Segment].[Customer Segment]" caption="Customer Segment" numFmtId="0" hierarchy="8" level="1">
      <sharedItems containsSemiMixedTypes="0" containsNonDate="0" containsString="0"/>
    </cacheField>
  </cacheFields>
  <cacheHierarchies count="44">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3"/>
      </fieldsUsage>
    </cacheHierarchy>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2" memberValueDatatype="130" unbalanced="0">
      <fieldsUsage count="2">
        <fieldUsage x="-1"/>
        <fieldUsage x="2"/>
      </fieldsUsage>
    </cacheHierarchy>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Discount]" caption="Sum of Discount" measure="1" displayFolder="" measureGroup="Orders"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Average of Sales]" caption="Average of Sales" measure="1" displayFolder="" measureGroup="Orders" count="0" hidden="1">
      <extLst>
        <ext xmlns:x15="http://schemas.microsoft.com/office/spreadsheetml/2010/11/main" uri="{B97F6D7D-B522-45F9-BDA1-12C45D357490}">
          <x15:cacheHierarchy aggregatedColumn="23"/>
        </ext>
      </extLst>
    </cacheHierarchy>
    <cacheHierarchy uniqueName="[Measures].[Sum of Customer ID]" caption="Sum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Postal Code]" caption="Sum of Postal Code" measure="1" displayFolder="" measureGroup="Orders" count="0" hidden="1">
      <extLst>
        <ext xmlns:x15="http://schemas.microsoft.com/office/spreadsheetml/2010/11/main" uri="{B97F6D7D-B522-45F9-BDA1-12C45D357490}">
          <x15:cacheHierarchy aggregatedColumn="18"/>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5"/>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94.966781597221" createdVersion="5" refreshedVersion="8" minRefreshableVersion="3" recordCount="0" supportSubquery="1" supportAdvancedDrill="1" xr:uid="{18BAD260-76AA-47B1-8710-EB98F11474CE}">
  <cacheSource type="external" connectionId="2"/>
  <cacheFields count="3">
    <cacheField name="[Measures].[Sum of Sales]" caption="Sum of Sales" numFmtId="0" hierarchy="33" level="32767"/>
    <cacheField name="[Users].[Region].[Region]" caption="Region" numFmtId="0" hierarchy="27" level="1">
      <sharedItems count="4">
        <s v="Central"/>
        <s v="East"/>
        <s v="South"/>
        <s v="West"/>
      </sharedItems>
    </cacheField>
    <cacheField name="[Orders].[Customer Segment].[Customer Segment]" caption="Customer Segment" numFmtId="0" hierarchy="8" level="1">
      <sharedItems containsSemiMixedTypes="0" containsNonDate="0" containsString="0"/>
    </cacheField>
  </cacheFields>
  <cacheHierarchies count="44">
    <cacheHierarchy uniqueName="[Orders].[Row ID]" caption="Row ID" attribute="1" defaultMemberUniqueName="[Orders].[Row ID].[All]" allUniqueName="[Orders].[Row ID].[All]" dimensionUniqueName="[Orders]" displayFolder="" count="2" memberValueDatatype="5"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5"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2"/>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5"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5"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5" unbalanced="0"/>
    <cacheHierarchy uniqueName="[Returns].[Order ID]" caption="Order ID" attribute="1" defaultMemberUniqueName="[Returns].[Order ID].[All]" allUniqueName="[Returns].[Order ID].[All]" dimensionUniqueName="[Returns]" displayFolder="" count="2" memberValueDatatype="5"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fieldsUsage count="2">
        <fieldUsage x="-1"/>
        <fieldUsage x="1"/>
      </fieldsUsage>
    </cacheHierarchy>
    <cacheHierarchy uniqueName="[Users].[Manager]" caption="Manager" attribute="1" defaultMemberUniqueName="[Users].[Manager].[All]" allUniqueName="[Users].[Manager].[All]" dimensionUniqueName="[Users]" displayFolder="" count="2"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Average of Sales]" caption="Average of Sales" measure="1" displayFolder="" measureGroup="Orders" count="0" hidden="1">
      <extLst>
        <ext xmlns:x15="http://schemas.microsoft.com/office/spreadsheetml/2010/11/main" uri="{B97F6D7D-B522-45F9-BDA1-12C45D357490}">
          <x15:cacheHierarchy aggregatedColumn="23"/>
        </ext>
      </extLst>
    </cacheHierarchy>
    <cacheHierarchy uniqueName="[Measures].[Sum of Customer ID]" caption="Sum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Postal Code]" caption="Sum of Postal Code" measure="1" displayFolder="" measureGroup="Orders" count="0" hidden="1">
      <extLst>
        <ext xmlns:x15="http://schemas.microsoft.com/office/spreadsheetml/2010/11/main" uri="{B97F6D7D-B522-45F9-BDA1-12C45D357490}">
          <x15:cacheHierarchy aggregatedColumn="18"/>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5"/>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94.966782175929" createdVersion="5" refreshedVersion="8" minRefreshableVersion="3" recordCount="0" supportSubquery="1" supportAdvancedDrill="1" xr:uid="{CB4A8F33-8A15-49DE-A0BD-A0F77F0B0E69}">
  <cacheSource type="external" connectionId="2"/>
  <cacheFields count="3">
    <cacheField name="[Orders].[Customer Name].[Customer Name]" caption="Customer Name" numFmtId="0" hierarchy="6" level="1">
      <sharedItems count="10">
        <s v="Jeanette Davies"/>
        <s v="John Bray"/>
        <s v="Kristine Connolly"/>
        <s v="Lee Xu"/>
        <s v="Leroy Blanchard"/>
        <s v="Nina Horne Kelly"/>
        <s v="Rosemary O'Brien"/>
        <s v="Scott McKenna"/>
        <s v="Timothy Ross"/>
        <s v="Yvonne Mann"/>
      </sharedItems>
    </cacheField>
    <cacheField name="[Measures].[Sum of Sales]" caption="Sum of Sales" numFmtId="0" hierarchy="33" level="32767"/>
    <cacheField name="[Orders].[Customer Segment].[Customer Segment]" caption="Customer Segment" numFmtId="0" hierarchy="8" level="1">
      <sharedItems containsSemiMixedTypes="0" containsNonDate="0" containsString="0"/>
    </cacheField>
  </cacheFields>
  <cacheHierarchies count="44">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2"/>
      </fieldsUsage>
    </cacheHierarchy>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Average of Sales]" caption="Average of Sales" measure="1" displayFolder="" measureGroup="Orders" count="0" hidden="1">
      <extLst>
        <ext xmlns:x15="http://schemas.microsoft.com/office/spreadsheetml/2010/11/main" uri="{B97F6D7D-B522-45F9-BDA1-12C45D357490}">
          <x15:cacheHierarchy aggregatedColumn="23"/>
        </ext>
      </extLst>
    </cacheHierarchy>
    <cacheHierarchy uniqueName="[Measures].[Sum of Customer ID]" caption="Sum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Postal Code]" caption="Sum of Postal Code" measure="1" displayFolder="" measureGroup="Orders" count="0" hidden="1">
      <extLst>
        <ext xmlns:x15="http://schemas.microsoft.com/office/spreadsheetml/2010/11/main" uri="{B97F6D7D-B522-45F9-BDA1-12C45D357490}">
          <x15:cacheHierarchy aggregatedColumn="18"/>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5"/>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heer royal" refreshedDate="45994.002195949077" createdVersion="3" refreshedVersion="8" minRefreshableVersion="3" recordCount="0" supportSubquery="1" supportAdvancedDrill="1" xr:uid="{CBDB816E-1634-4746-B09F-8A0B18442C2B}">
  <cacheSource type="external" connectionId="2">
    <extLst>
      <ext xmlns:x14="http://schemas.microsoft.com/office/spreadsheetml/2009/9/main" uri="{F057638F-6D5F-4e77-A914-E7F072B9BCA8}">
        <x14:sourceConnection name="ThisWorkbookDataModel"/>
      </ext>
    </extLst>
  </cacheSource>
  <cacheFields count="0"/>
  <cacheHierarchies count="44">
    <cacheHierarchy uniqueName="[Orders].[Row ID]" caption="Row ID" attribute="1" defaultMemberUniqueName="[Orders].[Row ID].[All]" allUniqueName="[Orders].[Row ID].[All]" dimensionUniqueName="[Orders]" displayFolder="" count="0" memberValueDatatype="5"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0" memberValueDatatype="5"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Average of Sales]" caption="Average of Sales" measure="1" displayFolder="" measureGroup="Orders" count="0" hidden="1">
      <extLst>
        <ext xmlns:x15="http://schemas.microsoft.com/office/spreadsheetml/2010/11/main" uri="{B97F6D7D-B522-45F9-BDA1-12C45D357490}">
          <x15:cacheHierarchy aggregatedColumn="23"/>
        </ext>
      </extLst>
    </cacheHierarchy>
    <cacheHierarchy uniqueName="[Measures].[Sum of Customer ID]" caption="Sum of Customer ID" measure="1" displayFolder="" measureGroup="Orders" count="0" hidden="1">
      <extLst>
        <ext xmlns:x15="http://schemas.microsoft.com/office/spreadsheetml/2010/11/main" uri="{B97F6D7D-B522-45F9-BDA1-12C45D357490}">
          <x15:cacheHierarchy aggregatedColumn="5"/>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Postal Code]" caption="Sum of Postal Code" measure="1" displayFolder="" measureGroup="Orders" count="0" hidden="1">
      <extLst>
        <ext xmlns:x15="http://schemas.microsoft.com/office/spreadsheetml/2010/11/main" uri="{B97F6D7D-B522-45F9-BDA1-12C45D357490}">
          <x15:cacheHierarchy aggregatedColumn="18"/>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slicerData="1" pivotCacheId="110743625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C81A08-B73B-41C9-AE88-651B4E716662}" name="Order_discount" cacheId="4" applyNumberFormats="0" applyBorderFormats="0" applyFontFormats="0" applyPatternFormats="0" applyAlignmentFormats="0" applyWidthHeightFormats="1" dataCaption="Values" tag="cf2f2d2b-ed56-4a80-a1bf-8c297257dce3" updatedVersion="8" minRefreshableVersion="3" useAutoFormatting="1" itemPrintTitles="1" createdVersion="5" indent="0" outline="1" outlineData="1" multipleFieldFilters="0" chartFormat="14">
  <location ref="J3:L9"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Sum of Discount" fld="1" baseField="0" baseItem="0" numFmtId="165"/>
    <dataField name="Sum of Unit Price" fld="2" baseField="0" baseItem="0" numFmtId="164"/>
  </dataFields>
  <formats count="2">
    <format dxfId="1">
      <pivotArea outline="0" collapsedLevelsAreSubtotals="1" fieldPosition="0">
        <references count="1">
          <reference field="4294967294" count="1" selected="0">
            <x v="0"/>
          </reference>
        </references>
      </pivotArea>
    </format>
    <format dxfId="0">
      <pivotArea outline="0" collapsedLevelsAreSubtotals="1" fieldPosition="0">
        <references count="1">
          <reference field="4294967294" count="1" selected="0">
            <x v="1"/>
          </reference>
        </references>
      </pivotArea>
    </format>
  </formats>
  <chartFormats count="2">
    <chartFormat chart="9" format="4"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B248F0-D81E-44B1-9180-ED3E088FA4B3}" name="Top10_CNames Sales" cacheId="7" applyNumberFormats="0" applyBorderFormats="0" applyFontFormats="0" applyPatternFormats="0" applyAlignmentFormats="0" applyWidthHeightFormats="1" dataCaption="Values" tag="14fe05c3-fc27-45af-a229-3c0b1b78ad3d" updatedVersion="8" minRefreshableVersion="3" useAutoFormatting="1" itemPrintTitles="1" createdVersion="5" indent="0" outline="1" outlineData="1" multipleFieldFilters="0" chartFormat="10">
  <location ref="Q6:R17"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Sales" fld="1" baseField="0" baseItem="0"/>
  </dataFields>
  <formats count="1">
    <format dxfId="2">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Sales"/>
    <pivotHierarchy dragToData="1"/>
    <pivotHierarchy dragToData="1"/>
    <pivotHierarchy dragToData="1"/>
    <pivotHierarchy dragToData="1"/>
    <pivotHierarchy dragToData="1" caption="Average of Sales"/>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8">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Us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5609E7-4D6D-488C-98F3-BAFE081AD21C}" name="Region_Sales" cacheId="6" applyNumberFormats="0" applyBorderFormats="0" applyFontFormats="0" applyPatternFormats="0" applyAlignmentFormats="0" applyWidthHeightFormats="1" dataCaption="Values" tag="a1091183-14e4-4a39-a7f8-14a08dc0c2cc" updatedVersion="8" minRefreshableVersion="3" useAutoFormatting="1" itemPrintTitles="1" createdVersion="5" indent="0" outline="1" outlineData="1" multipleFieldFilters="0" chartFormat="22">
  <location ref="B3:C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Sales" fld="0" baseField="0" baseItem="0" numFmtId="166"/>
  </dataFields>
  <formats count="1">
    <format dxfId="3">
      <pivotArea outline="0" collapsedLevelsAreSubtotals="1" fieldPosition="0"/>
    </format>
  </formats>
  <chartFormats count="5">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 count="1" selected="0">
            <x v="0"/>
          </reference>
        </references>
      </pivotArea>
    </chartFormat>
    <chartFormat chart="5" format="8">
      <pivotArea type="data" outline="0" fieldPosition="0">
        <references count="2">
          <reference field="4294967294" count="1" selected="0">
            <x v="0"/>
          </reference>
          <reference field="1" count="1" selected="0">
            <x v="1"/>
          </reference>
        </references>
      </pivotArea>
    </chartFormat>
    <chartFormat chart="5" format="9">
      <pivotArea type="data" outline="0" fieldPosition="0">
        <references count="2">
          <reference field="4294967294" count="1" selected="0">
            <x v="0"/>
          </reference>
          <reference field="1" count="1" selected="0">
            <x v="2"/>
          </reference>
        </references>
      </pivotArea>
    </chartFormat>
    <chartFormat chart="5" format="10">
      <pivotArea type="data" outline="0" fieldPosition="0">
        <references count="2">
          <reference field="4294967294" count="1" selected="0">
            <x v="0"/>
          </reference>
          <reference field="1" count="1" selected="0">
            <x v="3"/>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35EF62-66C1-405A-9FA0-8404EE8D71B0}" name="City_Sales" cacheId="1" applyNumberFormats="0" applyBorderFormats="0" applyFontFormats="0" applyPatternFormats="0" applyAlignmentFormats="0" applyWidthHeightFormats="1" dataCaption="Values" tag="cf9ee041-1e7f-4a80-a6fb-114f7aaa2c02" updatedVersion="8" minRefreshableVersion="3" useAutoFormatting="1" itemPrintTitles="1" createdVersion="5" indent="0" outline="1" outlineData="1" multipleFieldFilters="0" chartFormat="7">
  <location ref="T6:V17" firstHeaderRow="0"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Sum of Sales" fld="2" baseField="0" baseItem="0"/>
    <dataField name="Sum of Profit" fld="3" baseField="0" baseItem="0"/>
  </dataFields>
  <formats count="1">
    <format dxfId="4">
      <pivotArea outline="0" collapsedLevelsAreSubtotals="1" fieldPosition="0"/>
    </format>
  </formats>
  <pivotHierarchies count="44">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Sales"/>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38">
      <autoFilter ref="A1">
        <filterColumn colId="0">
          <top10 val="10" filterVal="10"/>
        </filterColumn>
      </autoFilter>
    </filter>
    <filter fld="1" type="count" id="2" iMeasureHier="33">
      <autoFilter ref="A1">
        <filterColumn colId="0">
          <top10 val="10" filterVal="10"/>
        </filterColumn>
      </autoFilter>
    </filter>
  </filters>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Us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A155DC-2210-441A-A947-62FD17C01EF6}" name="City_UPrice" cacheId="2" applyNumberFormats="0" applyBorderFormats="0" applyFontFormats="0" applyPatternFormats="0" applyAlignmentFormats="0" applyWidthHeightFormats="1" dataCaption="Values" tag="5c2b90b3-cb24-4540-bb60-0a54f899a782" updatedVersion="8" minRefreshableVersion="3" useAutoFormatting="1" itemPrintTitles="1" createdVersion="5" indent="0" outline="1" outlineData="1" multipleFieldFilters="0" chartFormat="4">
  <location ref="AB7:AC18"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Unit Price" fld="2" baseField="0" baseItem="0"/>
  </dataFields>
  <formats count="1">
    <format dxfId="5">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5"/>
          </reference>
        </references>
      </pivotArea>
    </chartFormat>
    <chartFormat chart="0" format="2">
      <pivotArea type="data" outline="0" fieldPosition="0">
        <references count="2">
          <reference field="4294967294" count="1" selected="0">
            <x v="0"/>
          </reference>
          <reference field="1" count="1" selected="0">
            <x v="7"/>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1"/>
          </reference>
        </references>
      </pivotArea>
    </chartFormat>
    <chartFormat chart="0" format="5">
      <pivotArea type="data" outline="0" fieldPosition="0">
        <references count="2">
          <reference field="4294967294" count="1" selected="0">
            <x v="0"/>
          </reference>
          <reference field="1" count="1" selected="0">
            <x v="10"/>
          </reference>
        </references>
      </pivotArea>
    </chartFormat>
  </chartFormats>
  <pivotHierarchies count="44">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Sales"/>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38">
      <autoFilter ref="A1">
        <filterColumn colId="0">
          <top10 val="10" filterVal="10"/>
        </filterColumn>
      </autoFilter>
    </filter>
    <filter fld="1" type="count" id="2" iMeasureHier="33">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Us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F1A617-9F27-496D-8C98-F1B858BD9C72}" name="Manager_Profit" cacheId="3" applyNumberFormats="0" applyBorderFormats="0" applyFontFormats="0" applyPatternFormats="0" applyAlignmentFormats="0" applyWidthHeightFormats="1" dataCaption="Values" tag="197ab9f1-e75b-43c8-adbb-7afa54523807" updatedVersion="8" minRefreshableVersion="3" useAutoFormatting="1" itemPrintTitles="1" createdVersion="5" indent="0" outline="1" outlineData="1" multipleFieldFilters="0" chartFormat="11">
  <location ref="N4:O9"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Profit" fld="1" baseField="0" baseItem="0" numFmtId="164"/>
  </dataFields>
  <formats count="1">
    <format dxfId="6">
      <pivotArea outline="0" collapsedLevelsAreSubtotals="1" fieldPosition="0"/>
    </format>
  </formats>
  <chartFormats count="5">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 chart="5" format="9">
      <pivotArea type="data" outline="0" fieldPosition="0">
        <references count="2">
          <reference field="4294967294" count="1" selected="0">
            <x v="0"/>
          </reference>
          <reference field="0" count="1" selected="0">
            <x v="2"/>
          </reference>
        </references>
      </pivotArea>
    </chartFormat>
    <chartFormat chart="5" format="10">
      <pivotArea type="data" outline="0" fieldPosition="0">
        <references count="2">
          <reference field="4294967294" count="1" selected="0">
            <x v="0"/>
          </reference>
          <reference field="0" count="1" selected="0">
            <x v="3"/>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D456CA-69A7-4306-9715-97229CBBCA52}" name="CSegment_Sales" cacheId="0" applyNumberFormats="0" applyBorderFormats="0" applyFontFormats="0" applyPatternFormats="0" applyAlignmentFormats="0" applyWidthHeightFormats="1" dataCaption="Values" tag="1d6d4e26-2ddc-4845-8a8a-dd773ed0604d" updatedVersion="8" minRefreshableVersion="3" useAutoFormatting="1" itemPrintTitles="1" createdVersion="5" indent="0" outline="1" outlineData="1" multipleFieldFilters="0" chartFormat="10">
  <location ref="X7:Z12" firstHeaderRow="0"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2"/>
  </rowFields>
  <rowItems count="5">
    <i>
      <x/>
    </i>
    <i>
      <x v="1"/>
    </i>
    <i>
      <x v="2"/>
    </i>
    <i>
      <x v="3"/>
    </i>
    <i t="grand">
      <x/>
    </i>
  </rowItems>
  <colFields count="1">
    <field x="-2"/>
  </colFields>
  <colItems count="2">
    <i>
      <x/>
    </i>
    <i i="1">
      <x v="1"/>
    </i>
  </colItems>
  <dataFields count="2">
    <dataField name="Sum of Sales" fld="3" baseField="0" baseItem="0"/>
    <dataField name="Sum of Profit" fld="4" baseField="0" baseItem="0"/>
  </dataFields>
  <formats count="1">
    <format dxfId="7">
      <pivotArea outline="0" collapsedLevelsAreSubtotals="1" fieldPosition="0"/>
    </format>
  </format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44">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Sales"/>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38">
      <autoFilter ref="A1">
        <filterColumn colId="0">
          <top10 val="10" filterVal="10"/>
        </filterColumn>
      </autoFilter>
    </filter>
    <filter fld="1" type="count" id="2" iMeasureHier="33">
      <autoFilter ref="A1">
        <filterColumn colId="0">
          <top10 val="10" filterVal="10"/>
        </filterColumn>
      </autoFilter>
    </filter>
  </filters>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Us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0B8B5FF-DE27-459C-A57D-F9F3BEAB0EDA}" name="Region_discount" cacheId="5" applyNumberFormats="0" applyBorderFormats="0" applyFontFormats="0" applyPatternFormats="0" applyAlignmentFormats="0" applyWidthHeightFormats="1" dataCaption="Values" tag="12244482-6990-444d-a6c9-f889e107a866" updatedVersion="8" minRefreshableVersion="3" useAutoFormatting="1" subtotalHiddenItems="1" itemPrintTitles="1" createdVersion="5" indent="0" outline="1" outlineData="1" multipleFieldFilters="0" chartFormat="18">
  <location ref="F3:H8"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Fields count="1">
    <field x="-2"/>
  </colFields>
  <colItems count="2">
    <i>
      <x/>
    </i>
    <i i="1">
      <x v="1"/>
    </i>
  </colItems>
  <dataFields count="2">
    <dataField name="Sum of Discount" fld="0" baseField="0" baseItem="0" numFmtId="165"/>
    <dataField name="Sum of Sales" fld="1" baseField="0" baseItem="0" numFmtId="166"/>
  </dataFields>
  <formats count="2">
    <format dxfId="9">
      <pivotArea outline="0" collapsedLevelsAreSubtotals="1" fieldPosition="0">
        <references count="1">
          <reference field="4294967294" count="1" selected="0">
            <x v="1"/>
          </reference>
        </references>
      </pivotArea>
    </format>
    <format dxfId="8">
      <pivotArea outline="0" collapsedLevelsAreSubtotals="1" fieldPosition="0">
        <references count="1">
          <reference field="4294967294" count="1" selected="0">
            <x v="0"/>
          </reference>
        </references>
      </pivotArea>
    </format>
  </formats>
  <chartFormats count="2">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C4F9C212-C787-43B5-B5BE-7391AF3D7CE2}" sourceName="[Orders].[Customer Segment]">
  <pivotTables>
    <pivotTable tabId="2" name="CSegment_Sales"/>
    <pivotTable tabId="2" name="City_Sales"/>
    <pivotTable tabId="2" name="City_UPrice"/>
    <pivotTable tabId="2" name="Manager_Profit"/>
    <pivotTable tabId="2" name="Order_discount"/>
    <pivotTable tabId="2" name="Region_discount"/>
    <pivotTable tabId="2" name="Region_Sales"/>
    <pivotTable tabId="2" name="Top10_CNames Sales"/>
  </pivotTables>
  <data>
    <olap pivotCacheId="1107436257">
      <levels count="2">
        <level uniqueName="[Orders].[Customer Segment].[(All)]" sourceCaption="(All)" count="0"/>
        <level uniqueName="[Orders].[Customer Segment].[Customer Segment]" sourceCaption="Customer Segment" count="4">
          <ranges>
            <range startItem="0">
              <i n="[Orders].[Customer Segment].&amp;[Consumer]" c="Consumer"/>
              <i n="[Orders].[Customer Segment].&amp;[Corporate]" c="Corporate"/>
              <i n="[Orders].[Customer Segment].&amp;[Home Office]" c="Home Office"/>
              <i n="[Orders].[Customer Segment].&amp;[Small Business]" c="Small Business"/>
            </range>
          </ranges>
        </level>
      </levels>
      <selections count="1">
        <selection n="[Orders].[Customer 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8CD0CE7-544D-4CC8-87DD-3C3205D137BD}" sourceName="[Orders].[Region]">
  <pivotTables>
    <pivotTable tabId="2" name="Manager_Profit"/>
    <pivotTable tabId="2" name="City_Sales"/>
    <pivotTable tabId="2" name="City_UPrice"/>
    <pivotTable tabId="2" name="CSegment_Sales"/>
    <pivotTable tabId="2" name="Order_discount"/>
    <pivotTable tabId="2" name="Region_discount"/>
    <pivotTable tabId="2" name="Region_Sales"/>
    <pivotTable tabId="2" name="Top10_CNames Sales"/>
  </pivotTables>
  <data>
    <olap pivotCacheId="1107436257">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CA634804-F1FD-4E52-8331-75C3C416B1A9}" cache="Slicer_Customer_Segment" caption="Customer Segment" level="1" rowHeight="234950"/>
  <slicer name="Region" xr10:uid="{608BB41A-18F7-4EA9-8BDB-48E67E0C98A9}" cache="Slicer_Region" caption="Reg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1" xr10:uid="{76A6C5D3-BF12-4C99-8266-49531BEA79E3}" cache="Slicer_Customer_Segment" caption="Customer Segment" level="1" rowHeight="234950"/>
  <slicer name="Region 1" xr10:uid="{9B15FE5D-01B4-41D4-ADAD-A81C26E5A96F}" cache="Slicer_Region" caption="Region"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E6673-DAD0-4A6D-AF87-5A802D219722}">
  <dimension ref="B3:AK1954"/>
  <sheetViews>
    <sheetView topLeftCell="U4" zoomScale="79" zoomScaleNormal="80" workbookViewId="0">
      <selection activeCell="AO36" sqref="AO36"/>
    </sheetView>
  </sheetViews>
  <sheetFormatPr defaultRowHeight="14.4" x14ac:dyDescent="0.3"/>
  <cols>
    <col min="2" max="2" width="14.5546875" bestFit="1" customWidth="1"/>
    <col min="3" max="3" width="12.44140625" bestFit="1" customWidth="1"/>
    <col min="6" max="6" width="14.5546875" bestFit="1" customWidth="1"/>
    <col min="7" max="7" width="15.6640625" bestFit="1" customWidth="1"/>
    <col min="8" max="8" width="12.44140625" bestFit="1" customWidth="1"/>
    <col min="10" max="10" width="14.5546875" bestFit="1" customWidth="1"/>
    <col min="11" max="11" width="15.6640625" bestFit="1" customWidth="1"/>
    <col min="12" max="12" width="16.5546875" bestFit="1" customWidth="1"/>
    <col min="14" max="14" width="14.5546875" bestFit="1" customWidth="1"/>
    <col min="15" max="15" width="12.6640625" bestFit="1" customWidth="1"/>
    <col min="17" max="17" width="18.44140625" bestFit="1" customWidth="1"/>
    <col min="18" max="18" width="12.44140625" bestFit="1" customWidth="1"/>
    <col min="19" max="19" width="11.33203125" bestFit="1" customWidth="1"/>
    <col min="20" max="20" width="14.5546875" bestFit="1" customWidth="1"/>
    <col min="21" max="21" width="12.44140625" bestFit="1" customWidth="1"/>
    <col min="22" max="22" width="12.6640625" bestFit="1" customWidth="1"/>
    <col min="23" max="23" width="18" bestFit="1" customWidth="1"/>
    <col min="24" max="24" width="16.109375" bestFit="1" customWidth="1"/>
    <col min="25" max="25" width="12.44140625" bestFit="1" customWidth="1"/>
    <col min="26" max="26" width="12.6640625" bestFit="1" customWidth="1"/>
    <col min="27" max="27" width="9.77734375" bestFit="1" customWidth="1"/>
    <col min="28" max="28" width="14.5546875" bestFit="1" customWidth="1"/>
    <col min="29" max="29" width="16.5546875" bestFit="1" customWidth="1"/>
    <col min="30" max="30" width="12.109375" bestFit="1" customWidth="1"/>
    <col min="31" max="31" width="6" bestFit="1" customWidth="1"/>
    <col min="32" max="32" width="5.21875" bestFit="1" customWidth="1"/>
    <col min="33" max="33" width="10.77734375" bestFit="1" customWidth="1"/>
    <col min="34" max="34" width="14.6640625" bestFit="1" customWidth="1"/>
    <col min="35" max="35" width="5.88671875" bestFit="1" customWidth="1"/>
    <col min="36" max="36" width="17.5546875" bestFit="1" customWidth="1"/>
    <col min="37" max="37" width="12.6640625" bestFit="1" customWidth="1"/>
    <col min="38" max="38" width="26" bestFit="1" customWidth="1"/>
    <col min="39" max="39" width="20.6640625" bestFit="1" customWidth="1"/>
    <col min="40" max="40" width="6.33203125" bestFit="1" customWidth="1"/>
    <col min="41" max="41" width="28.6640625" bestFit="1" customWidth="1"/>
    <col min="42" max="42" width="10.77734375" bestFit="1" customWidth="1"/>
    <col min="43" max="43" width="14.6640625" bestFit="1" customWidth="1"/>
    <col min="44" max="44" width="11.6640625" bestFit="1" customWidth="1"/>
    <col min="45" max="45" width="12.109375" bestFit="1" customWidth="1"/>
    <col min="46" max="46" width="11.6640625" bestFit="1" customWidth="1"/>
    <col min="47" max="47" width="17.5546875" bestFit="1" customWidth="1"/>
    <col min="48" max="48" width="11.6640625" bestFit="1" customWidth="1"/>
    <col min="49" max="49" width="12.6640625" bestFit="1" customWidth="1"/>
    <col min="50" max="50" width="11.6640625" bestFit="1" customWidth="1"/>
    <col min="51" max="51" width="26" bestFit="1" customWidth="1"/>
    <col min="52" max="52" width="11.6640625" bestFit="1" customWidth="1"/>
    <col min="53" max="53" width="20.6640625" bestFit="1" customWidth="1"/>
    <col min="54" max="54" width="11.6640625" bestFit="1" customWidth="1"/>
    <col min="55" max="55" width="12.109375" bestFit="1" customWidth="1"/>
    <col min="56" max="56" width="11.6640625" bestFit="1" customWidth="1"/>
    <col min="57" max="57" width="28.6640625" bestFit="1" customWidth="1"/>
    <col min="58" max="58" width="11.6640625" bestFit="1" customWidth="1"/>
    <col min="59" max="59" width="16.88671875" bestFit="1" customWidth="1"/>
    <col min="60" max="60" width="16.44140625" bestFit="1" customWidth="1"/>
  </cols>
  <sheetData>
    <row r="3" spans="2:37" x14ac:dyDescent="0.3">
      <c r="B3" s="2" t="s">
        <v>3</v>
      </c>
      <c r="C3" t="s">
        <v>2</v>
      </c>
      <c r="F3" s="2" t="s">
        <v>3</v>
      </c>
      <c r="G3" t="s">
        <v>9</v>
      </c>
      <c r="H3" t="s">
        <v>2</v>
      </c>
      <c r="J3" s="2" t="s">
        <v>3</v>
      </c>
      <c r="K3" t="s">
        <v>9</v>
      </c>
      <c r="L3" t="s">
        <v>15</v>
      </c>
      <c r="AH3" s="7">
        <v>13.01</v>
      </c>
    </row>
    <row r="4" spans="2:37" x14ac:dyDescent="0.3">
      <c r="B4" s="3" t="s">
        <v>4</v>
      </c>
      <c r="C4" s="6">
        <v>448284.7</v>
      </c>
      <c r="F4" s="3" t="s">
        <v>4</v>
      </c>
      <c r="G4" s="5">
        <v>27.659999999999997</v>
      </c>
      <c r="H4" s="6">
        <v>448284.7</v>
      </c>
      <c r="J4" s="3" t="s">
        <v>10</v>
      </c>
      <c r="K4" s="5">
        <v>18.809999999999988</v>
      </c>
      <c r="L4" s="4">
        <v>42372.42</v>
      </c>
      <c r="N4" s="2" t="s">
        <v>3</v>
      </c>
      <c r="O4" t="s">
        <v>20</v>
      </c>
      <c r="AH4" s="7">
        <v>6362.85</v>
      </c>
      <c r="AK4" s="6">
        <f>SUM(AH3:AH1954)</f>
        <v>1924337.8799999992</v>
      </c>
    </row>
    <row r="5" spans="2:37" x14ac:dyDescent="0.3">
      <c r="B5" s="3" t="s">
        <v>5</v>
      </c>
      <c r="C5" s="6">
        <v>592171.49</v>
      </c>
      <c r="F5" s="3" t="s">
        <v>5</v>
      </c>
      <c r="G5" s="5">
        <v>23.549999999999979</v>
      </c>
      <c r="H5" s="6">
        <v>592171.49</v>
      </c>
      <c r="J5" s="3" t="s">
        <v>11</v>
      </c>
      <c r="K5" s="5">
        <v>20</v>
      </c>
      <c r="L5" s="4">
        <v>34162.75</v>
      </c>
      <c r="N5" s="3" t="s">
        <v>16</v>
      </c>
      <c r="O5" s="4">
        <v>77365.472668600007</v>
      </c>
      <c r="AH5" s="7">
        <v>211.15</v>
      </c>
    </row>
    <row r="6" spans="2:37" x14ac:dyDescent="0.3">
      <c r="B6" s="3" t="s">
        <v>6</v>
      </c>
      <c r="C6" s="6">
        <v>357105.12</v>
      </c>
      <c r="F6" s="3" t="s">
        <v>6</v>
      </c>
      <c r="G6" s="5">
        <v>22.019999999999985</v>
      </c>
      <c r="H6" s="6">
        <v>357105.12</v>
      </c>
      <c r="J6" s="3" t="s">
        <v>12</v>
      </c>
      <c r="K6" s="5">
        <v>20.389999999999976</v>
      </c>
      <c r="L6" s="4">
        <v>42637.65</v>
      </c>
      <c r="N6" s="3" t="s">
        <v>17</v>
      </c>
      <c r="O6" s="4">
        <v>85291.403445999982</v>
      </c>
      <c r="Q6" s="2" t="s">
        <v>3</v>
      </c>
      <c r="R6" t="s">
        <v>2</v>
      </c>
      <c r="T6" s="2" t="s">
        <v>3</v>
      </c>
      <c r="U6" t="s">
        <v>2</v>
      </c>
      <c r="V6" t="s">
        <v>20</v>
      </c>
      <c r="AH6" s="7">
        <v>1164.45</v>
      </c>
    </row>
    <row r="7" spans="2:37" x14ac:dyDescent="0.3">
      <c r="B7" s="3" t="s">
        <v>7</v>
      </c>
      <c r="C7" s="6">
        <v>526776.56999999995</v>
      </c>
      <c r="F7" s="3" t="s">
        <v>7</v>
      </c>
      <c r="G7" s="5">
        <v>22.370000000000005</v>
      </c>
      <c r="H7" s="6">
        <v>526776.56999999995</v>
      </c>
      <c r="J7" s="3" t="s">
        <v>13</v>
      </c>
      <c r="K7" s="5">
        <v>18.22999999999999</v>
      </c>
      <c r="L7" s="4">
        <v>54108.35</v>
      </c>
      <c r="N7" s="3" t="s">
        <v>18</v>
      </c>
      <c r="O7" s="4">
        <v>-14424.054379450004</v>
      </c>
      <c r="Q7" s="3" t="s">
        <v>21</v>
      </c>
      <c r="R7" s="4">
        <v>10180.01</v>
      </c>
      <c r="T7" s="3" t="s">
        <v>31</v>
      </c>
      <c r="U7" s="4">
        <v>49654.82</v>
      </c>
      <c r="V7" s="4">
        <v>4668.2034999999996</v>
      </c>
      <c r="X7" s="2" t="s">
        <v>3</v>
      </c>
      <c r="Y7" t="s">
        <v>2</v>
      </c>
      <c r="Z7" t="s">
        <v>20</v>
      </c>
      <c r="AB7" s="2" t="s">
        <v>3</v>
      </c>
      <c r="AC7" t="s">
        <v>15</v>
      </c>
      <c r="AH7" s="7">
        <v>22.23</v>
      </c>
    </row>
    <row r="8" spans="2:37" x14ac:dyDescent="0.3">
      <c r="B8" s="3" t="s">
        <v>8</v>
      </c>
      <c r="C8" s="6">
        <v>1924337.88</v>
      </c>
      <c r="F8" s="3" t="s">
        <v>8</v>
      </c>
      <c r="G8" s="5">
        <v>95.600000000000207</v>
      </c>
      <c r="H8" s="6">
        <v>1924337.88</v>
      </c>
      <c r="J8" s="3" t="s">
        <v>14</v>
      </c>
      <c r="K8" s="5">
        <v>18.169999999999973</v>
      </c>
      <c r="L8" s="4">
        <v>39641.47</v>
      </c>
      <c r="N8" s="3" t="s">
        <v>19</v>
      </c>
      <c r="O8" s="4">
        <v>75844.790101999999</v>
      </c>
      <c r="Q8" s="3" t="s">
        <v>22</v>
      </c>
      <c r="R8" s="4">
        <v>11015.82</v>
      </c>
      <c r="T8" s="3" t="s">
        <v>32</v>
      </c>
      <c r="U8" s="4">
        <v>22958</v>
      </c>
      <c r="V8" s="4">
        <v>-291.00769999999983</v>
      </c>
      <c r="X8" s="3" t="s">
        <v>41</v>
      </c>
      <c r="Y8" s="4">
        <v>401778.37</v>
      </c>
      <c r="Z8" s="4">
        <v>49894.990272600007</v>
      </c>
      <c r="AB8" s="3" t="s">
        <v>31</v>
      </c>
      <c r="AC8" s="4">
        <v>1769.43</v>
      </c>
      <c r="AH8" s="7">
        <v>13.99</v>
      </c>
    </row>
    <row r="9" spans="2:37" x14ac:dyDescent="0.3">
      <c r="J9" s="3" t="s">
        <v>8</v>
      </c>
      <c r="K9" s="5">
        <v>95.600000000000207</v>
      </c>
      <c r="L9" s="4">
        <v>212922.64</v>
      </c>
      <c r="N9" s="3" t="s">
        <v>8</v>
      </c>
      <c r="O9" s="4">
        <v>224077.61183715003</v>
      </c>
      <c r="Q9" s="3" t="s">
        <v>23</v>
      </c>
      <c r="R9" s="4">
        <v>50475.31</v>
      </c>
      <c r="T9" s="3" t="s">
        <v>33</v>
      </c>
      <c r="U9" s="4">
        <v>29451.26</v>
      </c>
      <c r="V9" s="4">
        <v>1287.2060000000001</v>
      </c>
      <c r="X9" s="3" t="s">
        <v>42</v>
      </c>
      <c r="Y9" s="4">
        <v>657784.53</v>
      </c>
      <c r="Z9" s="4">
        <v>54444.191002400024</v>
      </c>
      <c r="AB9" s="3" t="s">
        <v>32</v>
      </c>
      <c r="AC9" s="4">
        <v>1230.58</v>
      </c>
      <c r="AH9" s="7">
        <v>14.26</v>
      </c>
    </row>
    <row r="10" spans="2:37" x14ac:dyDescent="0.3">
      <c r="Q10" s="3" t="s">
        <v>24</v>
      </c>
      <c r="R10" s="4">
        <v>20640.349999999999</v>
      </c>
      <c r="T10" s="3" t="s">
        <v>34</v>
      </c>
      <c r="U10" s="4">
        <v>154806.10999999999</v>
      </c>
      <c r="V10" s="4">
        <v>7865.8371799999986</v>
      </c>
      <c r="X10" s="3" t="s">
        <v>43</v>
      </c>
      <c r="Y10" s="4">
        <v>464481.04</v>
      </c>
      <c r="Z10" s="4">
        <v>54433.520870920125</v>
      </c>
      <c r="AB10" s="3" t="s">
        <v>33</v>
      </c>
      <c r="AC10" s="4">
        <v>585.77</v>
      </c>
      <c r="AH10" s="7">
        <v>33.47</v>
      </c>
    </row>
    <row r="11" spans="2:37" x14ac:dyDescent="0.3">
      <c r="Q11" s="3" t="s">
        <v>25</v>
      </c>
      <c r="R11" s="4">
        <v>12599.55</v>
      </c>
      <c r="T11" s="3" t="s">
        <v>35</v>
      </c>
      <c r="U11" s="4">
        <v>20974.45</v>
      </c>
      <c r="V11" s="4">
        <v>154.39600000000002</v>
      </c>
      <c r="X11" s="3" t="s">
        <v>44</v>
      </c>
      <c r="Y11" s="4">
        <v>400293.94</v>
      </c>
      <c r="Z11" s="4">
        <v>65304.909691229906</v>
      </c>
      <c r="AB11" s="3" t="s">
        <v>34</v>
      </c>
      <c r="AC11" s="4">
        <v>5168.62</v>
      </c>
      <c r="AH11" s="7">
        <v>379.53</v>
      </c>
    </row>
    <row r="12" spans="2:37" x14ac:dyDescent="0.3">
      <c r="Q12" s="3" t="s">
        <v>26</v>
      </c>
      <c r="R12" s="4">
        <v>48295.12</v>
      </c>
      <c r="T12" s="3" t="s">
        <v>36</v>
      </c>
      <c r="U12" s="4">
        <v>19266.400000000001</v>
      </c>
      <c r="V12" s="4">
        <v>3141.7722399999993</v>
      </c>
      <c r="X12" s="3" t="s">
        <v>8</v>
      </c>
      <c r="Y12" s="4">
        <v>1924337.88</v>
      </c>
      <c r="Z12" s="4">
        <v>224077.61183715003</v>
      </c>
      <c r="AB12" s="3" t="s">
        <v>35</v>
      </c>
      <c r="AC12" s="4">
        <v>6815.2</v>
      </c>
      <c r="AH12" s="7">
        <v>18.8</v>
      </c>
    </row>
    <row r="13" spans="2:37" x14ac:dyDescent="0.3">
      <c r="Q13" s="3" t="s">
        <v>27</v>
      </c>
      <c r="R13" s="4">
        <v>29916.01</v>
      </c>
      <c r="T13" s="3" t="s">
        <v>37</v>
      </c>
      <c r="U13" s="4">
        <v>145010.54</v>
      </c>
      <c r="V13" s="4">
        <v>4928.1599800000004</v>
      </c>
      <c r="AB13" s="3" t="s">
        <v>36</v>
      </c>
      <c r="AC13" s="4">
        <v>436.19</v>
      </c>
      <c r="AH13" s="7">
        <v>945.99</v>
      </c>
    </row>
    <row r="14" spans="2:37" x14ac:dyDescent="0.3">
      <c r="Q14" s="3" t="s">
        <v>28</v>
      </c>
      <c r="R14" s="4">
        <v>9580</v>
      </c>
      <c r="T14" s="3" t="s">
        <v>38</v>
      </c>
      <c r="U14" s="4">
        <v>28442.95</v>
      </c>
      <c r="V14" s="4">
        <v>1028.731</v>
      </c>
      <c r="AB14" s="3" t="s">
        <v>37</v>
      </c>
      <c r="AC14" s="4">
        <v>4733.3599999999997</v>
      </c>
      <c r="AH14" s="7">
        <v>455.77</v>
      </c>
    </row>
    <row r="15" spans="2:37" x14ac:dyDescent="0.3">
      <c r="Q15" s="3" t="s">
        <v>29</v>
      </c>
      <c r="R15" s="4">
        <v>9492.92</v>
      </c>
      <c r="T15" s="3" t="s">
        <v>39</v>
      </c>
      <c r="U15" s="4">
        <v>38437.769999999997</v>
      </c>
      <c r="V15" s="4">
        <v>5487.2660999999998</v>
      </c>
      <c r="AB15" s="3" t="s">
        <v>38</v>
      </c>
      <c r="AC15" s="4">
        <v>1131.1600000000001</v>
      </c>
      <c r="AH15" s="7">
        <v>231.79</v>
      </c>
    </row>
    <row r="16" spans="2:37" x14ac:dyDescent="0.3">
      <c r="Q16" s="3" t="s">
        <v>30</v>
      </c>
      <c r="R16" s="4">
        <v>28779.13</v>
      </c>
      <c r="T16" s="3" t="s">
        <v>40</v>
      </c>
      <c r="U16" s="4">
        <v>68946.66</v>
      </c>
      <c r="V16" s="4">
        <v>11677.363099999999</v>
      </c>
      <c r="AB16" s="3" t="s">
        <v>39</v>
      </c>
      <c r="AC16" s="4">
        <v>2409.35</v>
      </c>
      <c r="AH16" s="7">
        <v>1876.69</v>
      </c>
    </row>
    <row r="17" spans="17:34" x14ac:dyDescent="0.3">
      <c r="Q17" s="3" t="s">
        <v>8</v>
      </c>
      <c r="R17" s="4">
        <v>230974.22</v>
      </c>
      <c r="T17" s="3" t="s">
        <v>8</v>
      </c>
      <c r="U17" s="4">
        <v>577948.96</v>
      </c>
      <c r="V17" s="4">
        <v>39947.927400000008</v>
      </c>
      <c r="AB17" s="3" t="s">
        <v>40</v>
      </c>
      <c r="AC17" s="4">
        <v>1888.05</v>
      </c>
      <c r="AH17" s="7">
        <v>293.06</v>
      </c>
    </row>
    <row r="18" spans="17:34" x14ac:dyDescent="0.3">
      <c r="AB18" s="3" t="s">
        <v>8</v>
      </c>
      <c r="AC18" s="4">
        <v>26167.71</v>
      </c>
      <c r="AH18" s="7">
        <v>914.29</v>
      </c>
    </row>
    <row r="19" spans="17:34" x14ac:dyDescent="0.3">
      <c r="AH19" s="7">
        <v>67.489999999999995</v>
      </c>
    </row>
    <row r="20" spans="17:34" x14ac:dyDescent="0.3">
      <c r="AH20" s="7">
        <v>2.25</v>
      </c>
    </row>
    <row r="21" spans="17:34" x14ac:dyDescent="0.3">
      <c r="AH21" s="7">
        <v>54.78</v>
      </c>
    </row>
    <row r="22" spans="17:34" x14ac:dyDescent="0.3">
      <c r="AH22" s="7">
        <v>424.68</v>
      </c>
    </row>
    <row r="23" spans="17:34" x14ac:dyDescent="0.3">
      <c r="AH23" s="7">
        <v>40.17</v>
      </c>
    </row>
    <row r="24" spans="17:34" x14ac:dyDescent="0.3">
      <c r="AH24" s="7">
        <v>783.55</v>
      </c>
    </row>
    <row r="25" spans="17:34" x14ac:dyDescent="0.3">
      <c r="AH25" s="7">
        <v>3838.14</v>
      </c>
    </row>
    <row r="26" spans="17:34" x14ac:dyDescent="0.3">
      <c r="AH26" s="7">
        <v>58.68</v>
      </c>
    </row>
    <row r="27" spans="17:34" x14ac:dyDescent="0.3">
      <c r="AH27" s="7">
        <v>53.1</v>
      </c>
    </row>
    <row r="28" spans="17:34" x14ac:dyDescent="0.3">
      <c r="AH28" s="7">
        <v>647.07000000000005</v>
      </c>
    </row>
    <row r="29" spans="17:34" x14ac:dyDescent="0.3">
      <c r="AH29" s="7">
        <v>627.04</v>
      </c>
    </row>
    <row r="30" spans="17:34" x14ac:dyDescent="0.3">
      <c r="AH30" s="7">
        <v>3267.55</v>
      </c>
    </row>
    <row r="31" spans="17:34" x14ac:dyDescent="0.3">
      <c r="AH31" s="7">
        <v>110.19</v>
      </c>
    </row>
    <row r="32" spans="17:34" x14ac:dyDescent="0.3">
      <c r="AH32" s="7">
        <v>73.55</v>
      </c>
    </row>
    <row r="33" spans="34:34" x14ac:dyDescent="0.3">
      <c r="AH33" s="7">
        <v>29.57</v>
      </c>
    </row>
    <row r="34" spans="34:34" x14ac:dyDescent="0.3">
      <c r="AH34" s="7">
        <v>22.85</v>
      </c>
    </row>
    <row r="35" spans="34:34" x14ac:dyDescent="0.3">
      <c r="AH35" s="7">
        <v>506.39</v>
      </c>
    </row>
    <row r="36" spans="34:34" x14ac:dyDescent="0.3">
      <c r="AH36" s="7">
        <v>4</v>
      </c>
    </row>
    <row r="37" spans="34:34" x14ac:dyDescent="0.3">
      <c r="AH37" s="7">
        <v>589.79999999999995</v>
      </c>
    </row>
    <row r="38" spans="34:34" x14ac:dyDescent="0.3">
      <c r="AH38" s="7">
        <v>1225.5999999999999</v>
      </c>
    </row>
    <row r="39" spans="34:34" x14ac:dyDescent="0.3">
      <c r="AH39" s="7">
        <v>1239.06</v>
      </c>
    </row>
    <row r="40" spans="34:34" x14ac:dyDescent="0.3">
      <c r="AH40" s="7">
        <v>4083.19</v>
      </c>
    </row>
    <row r="41" spans="34:34" x14ac:dyDescent="0.3">
      <c r="AH41" s="7">
        <v>4902.38</v>
      </c>
    </row>
    <row r="42" spans="34:34" x14ac:dyDescent="0.3">
      <c r="AH42" s="7">
        <v>5718.85</v>
      </c>
    </row>
    <row r="43" spans="34:34" x14ac:dyDescent="0.3">
      <c r="AH43" s="7">
        <v>1400.53</v>
      </c>
    </row>
    <row r="44" spans="34:34" x14ac:dyDescent="0.3">
      <c r="AH44" s="7">
        <v>1821.89</v>
      </c>
    </row>
    <row r="45" spans="34:34" x14ac:dyDescent="0.3">
      <c r="AH45" s="7">
        <v>90.98</v>
      </c>
    </row>
    <row r="46" spans="34:34" x14ac:dyDescent="0.3">
      <c r="AH46" s="7">
        <v>10728</v>
      </c>
    </row>
    <row r="47" spans="34:34" x14ac:dyDescent="0.3">
      <c r="AH47" s="7">
        <v>3127.69</v>
      </c>
    </row>
    <row r="48" spans="34:34" x14ac:dyDescent="0.3">
      <c r="AH48" s="7">
        <v>41.82</v>
      </c>
    </row>
    <row r="49" spans="34:34" x14ac:dyDescent="0.3">
      <c r="AH49" s="7">
        <v>2875.72</v>
      </c>
    </row>
    <row r="50" spans="34:34" x14ac:dyDescent="0.3">
      <c r="AH50" s="7">
        <v>170.8</v>
      </c>
    </row>
    <row r="51" spans="34:34" x14ac:dyDescent="0.3">
      <c r="AH51" s="7">
        <v>53.54</v>
      </c>
    </row>
    <row r="52" spans="34:34" x14ac:dyDescent="0.3">
      <c r="AH52" s="7">
        <v>3363.53</v>
      </c>
    </row>
    <row r="53" spans="34:34" x14ac:dyDescent="0.3">
      <c r="AH53" s="7">
        <v>132.08000000000001</v>
      </c>
    </row>
    <row r="54" spans="34:34" x14ac:dyDescent="0.3">
      <c r="AH54" s="7">
        <v>45.34</v>
      </c>
    </row>
    <row r="55" spans="34:34" x14ac:dyDescent="0.3">
      <c r="AH55" s="7">
        <v>216.04</v>
      </c>
    </row>
    <row r="56" spans="34:34" x14ac:dyDescent="0.3">
      <c r="AH56" s="7">
        <v>6276.34</v>
      </c>
    </row>
    <row r="57" spans="34:34" x14ac:dyDescent="0.3">
      <c r="AH57" s="7">
        <v>2664.4</v>
      </c>
    </row>
    <row r="58" spans="34:34" x14ac:dyDescent="0.3">
      <c r="AH58" s="7">
        <v>1526.68</v>
      </c>
    </row>
    <row r="59" spans="34:34" x14ac:dyDescent="0.3">
      <c r="AH59" s="7">
        <v>1952.56</v>
      </c>
    </row>
    <row r="60" spans="34:34" x14ac:dyDescent="0.3">
      <c r="AH60" s="7">
        <v>303.58999999999997</v>
      </c>
    </row>
    <row r="61" spans="34:34" x14ac:dyDescent="0.3">
      <c r="AH61" s="7">
        <v>9459.94</v>
      </c>
    </row>
    <row r="62" spans="34:34" x14ac:dyDescent="0.3">
      <c r="AH62" s="7">
        <v>1233.32</v>
      </c>
    </row>
    <row r="63" spans="34:34" x14ac:dyDescent="0.3">
      <c r="AH63" s="7">
        <v>47.31</v>
      </c>
    </row>
    <row r="64" spans="34:34" x14ac:dyDescent="0.3">
      <c r="AH64" s="7">
        <v>2441.27</v>
      </c>
    </row>
    <row r="65" spans="34:34" x14ac:dyDescent="0.3">
      <c r="AH65" s="7">
        <v>11.13</v>
      </c>
    </row>
    <row r="66" spans="34:34" x14ac:dyDescent="0.3">
      <c r="AH66" s="7">
        <v>29.5</v>
      </c>
    </row>
    <row r="67" spans="34:34" x14ac:dyDescent="0.3">
      <c r="AH67" s="7">
        <v>58.33</v>
      </c>
    </row>
    <row r="68" spans="34:34" x14ac:dyDescent="0.3">
      <c r="AH68" s="7">
        <v>20.420000000000002</v>
      </c>
    </row>
    <row r="69" spans="34:34" x14ac:dyDescent="0.3">
      <c r="AH69" s="7">
        <v>26.07</v>
      </c>
    </row>
    <row r="70" spans="34:34" x14ac:dyDescent="0.3">
      <c r="AH70" s="7">
        <v>122.23</v>
      </c>
    </row>
    <row r="71" spans="34:34" x14ac:dyDescent="0.3">
      <c r="AH71" s="7">
        <v>228.46</v>
      </c>
    </row>
    <row r="72" spans="34:34" x14ac:dyDescent="0.3">
      <c r="AH72" s="7">
        <v>77.61</v>
      </c>
    </row>
    <row r="73" spans="34:34" x14ac:dyDescent="0.3">
      <c r="AH73" s="7">
        <v>99.94</v>
      </c>
    </row>
    <row r="74" spans="34:34" x14ac:dyDescent="0.3">
      <c r="AH74" s="7">
        <v>59.85</v>
      </c>
    </row>
    <row r="75" spans="34:34" x14ac:dyDescent="0.3">
      <c r="AH75" s="7">
        <v>1708.73</v>
      </c>
    </row>
    <row r="76" spans="34:34" x14ac:dyDescent="0.3">
      <c r="AH76" s="7">
        <v>94.97</v>
      </c>
    </row>
    <row r="77" spans="34:34" x14ac:dyDescent="0.3">
      <c r="AH77" s="7">
        <v>10.23</v>
      </c>
    </row>
    <row r="78" spans="34:34" x14ac:dyDescent="0.3">
      <c r="AH78" s="7">
        <v>217.23</v>
      </c>
    </row>
    <row r="79" spans="34:34" x14ac:dyDescent="0.3">
      <c r="AH79" s="7">
        <v>101.74</v>
      </c>
    </row>
    <row r="80" spans="34:34" x14ac:dyDescent="0.3">
      <c r="AH80" s="7">
        <v>84.52</v>
      </c>
    </row>
    <row r="81" spans="34:34" x14ac:dyDescent="0.3">
      <c r="AH81" s="7">
        <v>312.58999999999997</v>
      </c>
    </row>
    <row r="82" spans="34:34" x14ac:dyDescent="0.3">
      <c r="AH82" s="7">
        <v>64.400000000000006</v>
      </c>
    </row>
    <row r="83" spans="34:34" x14ac:dyDescent="0.3">
      <c r="AH83" s="7">
        <v>14.65</v>
      </c>
    </row>
    <row r="84" spans="34:34" x14ac:dyDescent="0.3">
      <c r="AH84" s="7">
        <v>453.62</v>
      </c>
    </row>
    <row r="85" spans="34:34" x14ac:dyDescent="0.3">
      <c r="AH85" s="7">
        <v>193.59</v>
      </c>
    </row>
    <row r="86" spans="34:34" x14ac:dyDescent="0.3">
      <c r="AH86" s="7">
        <v>929.57</v>
      </c>
    </row>
    <row r="87" spans="34:34" x14ac:dyDescent="0.3">
      <c r="AH87" s="7">
        <v>62.46</v>
      </c>
    </row>
    <row r="88" spans="34:34" x14ac:dyDescent="0.3">
      <c r="AH88" s="7">
        <v>28.11</v>
      </c>
    </row>
    <row r="89" spans="34:34" x14ac:dyDescent="0.3">
      <c r="AH89" s="7">
        <v>5.5</v>
      </c>
    </row>
    <row r="90" spans="34:34" x14ac:dyDescent="0.3">
      <c r="AH90" s="7">
        <v>667.84</v>
      </c>
    </row>
    <row r="91" spans="34:34" x14ac:dyDescent="0.3">
      <c r="AH91" s="7">
        <v>292.23</v>
      </c>
    </row>
    <row r="92" spans="34:34" x14ac:dyDescent="0.3">
      <c r="AH92" s="7">
        <v>772.56</v>
      </c>
    </row>
    <row r="93" spans="34:34" x14ac:dyDescent="0.3">
      <c r="AH93" s="7">
        <v>1050.08</v>
      </c>
    </row>
    <row r="94" spans="34:34" x14ac:dyDescent="0.3">
      <c r="AH94" s="7">
        <v>33.82</v>
      </c>
    </row>
    <row r="95" spans="34:34" x14ac:dyDescent="0.3">
      <c r="AH95" s="7">
        <v>715.55</v>
      </c>
    </row>
    <row r="96" spans="34:34" x14ac:dyDescent="0.3">
      <c r="AH96" s="7">
        <v>45.63</v>
      </c>
    </row>
    <row r="97" spans="34:34" x14ac:dyDescent="0.3">
      <c r="AH97" s="7">
        <v>1839.91</v>
      </c>
    </row>
    <row r="98" spans="34:34" x14ac:dyDescent="0.3">
      <c r="AH98" s="7">
        <v>130.62</v>
      </c>
    </row>
    <row r="99" spans="34:34" x14ac:dyDescent="0.3">
      <c r="AH99" s="7">
        <v>6945.16</v>
      </c>
    </row>
    <row r="100" spans="34:34" x14ac:dyDescent="0.3">
      <c r="AH100" s="7">
        <v>30.94</v>
      </c>
    </row>
    <row r="101" spans="34:34" x14ac:dyDescent="0.3">
      <c r="AH101" s="7">
        <v>3.42</v>
      </c>
    </row>
    <row r="102" spans="34:34" x14ac:dyDescent="0.3">
      <c r="AH102" s="7">
        <v>901.81</v>
      </c>
    </row>
    <row r="103" spans="34:34" x14ac:dyDescent="0.3">
      <c r="AH103" s="7">
        <v>186.59</v>
      </c>
    </row>
    <row r="104" spans="34:34" x14ac:dyDescent="0.3">
      <c r="AH104" s="7">
        <v>250.5</v>
      </c>
    </row>
    <row r="105" spans="34:34" x14ac:dyDescent="0.3">
      <c r="AH105" s="7">
        <v>221.24</v>
      </c>
    </row>
    <row r="106" spans="34:34" x14ac:dyDescent="0.3">
      <c r="AH106" s="7">
        <v>46.65</v>
      </c>
    </row>
    <row r="107" spans="34:34" x14ac:dyDescent="0.3">
      <c r="AH107" s="7">
        <v>164.71</v>
      </c>
    </row>
    <row r="108" spans="34:34" x14ac:dyDescent="0.3">
      <c r="AH108" s="7">
        <v>79.680000000000007</v>
      </c>
    </row>
    <row r="109" spans="34:34" x14ac:dyDescent="0.3">
      <c r="AH109" s="7">
        <v>53.26</v>
      </c>
    </row>
    <row r="110" spans="34:34" x14ac:dyDescent="0.3">
      <c r="AH110" s="7">
        <v>203.49</v>
      </c>
    </row>
    <row r="111" spans="34:34" x14ac:dyDescent="0.3">
      <c r="AH111" s="7">
        <v>2356.0100000000002</v>
      </c>
    </row>
    <row r="112" spans="34:34" x14ac:dyDescent="0.3">
      <c r="AH112" s="7">
        <v>224.12</v>
      </c>
    </row>
    <row r="113" spans="34:34" x14ac:dyDescent="0.3">
      <c r="AH113" s="7">
        <v>140.30000000000001</v>
      </c>
    </row>
    <row r="114" spans="34:34" x14ac:dyDescent="0.3">
      <c r="AH114" s="7">
        <v>28.2</v>
      </c>
    </row>
    <row r="115" spans="34:34" x14ac:dyDescent="0.3">
      <c r="AH115" s="7">
        <v>71.55</v>
      </c>
    </row>
    <row r="116" spans="34:34" x14ac:dyDescent="0.3">
      <c r="AH116" s="7">
        <v>3108.98</v>
      </c>
    </row>
    <row r="117" spans="34:34" x14ac:dyDescent="0.3">
      <c r="AH117" s="7">
        <v>12599.55</v>
      </c>
    </row>
    <row r="118" spans="34:34" x14ac:dyDescent="0.3">
      <c r="AH118" s="7">
        <v>34.65</v>
      </c>
    </row>
    <row r="119" spans="34:34" x14ac:dyDescent="0.3">
      <c r="AH119" s="7">
        <v>85.79</v>
      </c>
    </row>
    <row r="120" spans="34:34" x14ac:dyDescent="0.3">
      <c r="AH120" s="7">
        <v>17.61</v>
      </c>
    </row>
    <row r="121" spans="34:34" x14ac:dyDescent="0.3">
      <c r="AH121" s="7">
        <v>27.3</v>
      </c>
    </row>
    <row r="122" spans="34:34" x14ac:dyDescent="0.3">
      <c r="AH122" s="7">
        <v>64.75</v>
      </c>
    </row>
    <row r="123" spans="34:34" x14ac:dyDescent="0.3">
      <c r="AH123" s="7">
        <v>62.98</v>
      </c>
    </row>
    <row r="124" spans="34:34" x14ac:dyDescent="0.3">
      <c r="AH124" s="7">
        <v>21.2</v>
      </c>
    </row>
    <row r="125" spans="34:34" x14ac:dyDescent="0.3">
      <c r="AH125" s="7">
        <v>173.32</v>
      </c>
    </row>
    <row r="126" spans="34:34" x14ac:dyDescent="0.3">
      <c r="AH126" s="7">
        <v>42.29</v>
      </c>
    </row>
    <row r="127" spans="34:34" x14ac:dyDescent="0.3">
      <c r="AH127" s="7">
        <v>730.37</v>
      </c>
    </row>
    <row r="128" spans="34:34" x14ac:dyDescent="0.3">
      <c r="AH128" s="7">
        <v>450.49</v>
      </c>
    </row>
    <row r="129" spans="34:34" x14ac:dyDescent="0.3">
      <c r="AH129" s="7">
        <v>58.8</v>
      </c>
    </row>
    <row r="130" spans="34:34" x14ac:dyDescent="0.3">
      <c r="AH130" s="7">
        <v>120.47</v>
      </c>
    </row>
    <row r="131" spans="34:34" x14ac:dyDescent="0.3">
      <c r="AH131" s="7">
        <v>1599.96</v>
      </c>
    </row>
    <row r="132" spans="34:34" x14ac:dyDescent="0.3">
      <c r="AH132" s="7">
        <v>197.59</v>
      </c>
    </row>
    <row r="133" spans="34:34" x14ac:dyDescent="0.3">
      <c r="AH133" s="7">
        <v>33.04</v>
      </c>
    </row>
    <row r="134" spans="34:34" x14ac:dyDescent="0.3">
      <c r="AH134" s="7">
        <v>27.45</v>
      </c>
    </row>
    <row r="135" spans="34:34" x14ac:dyDescent="0.3">
      <c r="AH135" s="7">
        <v>4775.1099999999997</v>
      </c>
    </row>
    <row r="136" spans="34:34" x14ac:dyDescent="0.3">
      <c r="AH136" s="7">
        <v>57.41</v>
      </c>
    </row>
    <row r="137" spans="34:34" x14ac:dyDescent="0.3">
      <c r="AH137" s="7">
        <v>2809.87</v>
      </c>
    </row>
    <row r="138" spans="34:34" x14ac:dyDescent="0.3">
      <c r="AH138" s="7">
        <v>79.930000000000007</v>
      </c>
    </row>
    <row r="139" spans="34:34" x14ac:dyDescent="0.3">
      <c r="AH139" s="7">
        <v>873.18</v>
      </c>
    </row>
    <row r="140" spans="34:34" x14ac:dyDescent="0.3">
      <c r="AH140" s="7">
        <v>798.69</v>
      </c>
    </row>
    <row r="141" spans="34:34" x14ac:dyDescent="0.3">
      <c r="AH141" s="7">
        <v>792.11</v>
      </c>
    </row>
    <row r="142" spans="34:34" x14ac:dyDescent="0.3">
      <c r="AH142" s="7">
        <v>28.73</v>
      </c>
    </row>
    <row r="143" spans="34:34" x14ac:dyDescent="0.3">
      <c r="AH143" s="7">
        <v>109.74</v>
      </c>
    </row>
    <row r="144" spans="34:34" x14ac:dyDescent="0.3">
      <c r="AH144" s="7">
        <v>1543.55</v>
      </c>
    </row>
    <row r="145" spans="34:34" x14ac:dyDescent="0.3">
      <c r="AH145" s="7">
        <v>1332.82</v>
      </c>
    </row>
    <row r="146" spans="34:34" x14ac:dyDescent="0.3">
      <c r="AH146" s="7">
        <v>34.64</v>
      </c>
    </row>
    <row r="147" spans="34:34" x14ac:dyDescent="0.3">
      <c r="AH147" s="7">
        <v>52.47</v>
      </c>
    </row>
    <row r="148" spans="34:34" x14ac:dyDescent="0.3">
      <c r="AH148" s="7">
        <v>26.38</v>
      </c>
    </row>
    <row r="149" spans="34:34" x14ac:dyDescent="0.3">
      <c r="AH149" s="7">
        <v>304.33999999999997</v>
      </c>
    </row>
    <row r="150" spans="34:34" x14ac:dyDescent="0.3">
      <c r="AH150" s="7">
        <v>1300.81</v>
      </c>
    </row>
    <row r="151" spans="34:34" x14ac:dyDescent="0.3">
      <c r="AH151" s="7">
        <v>67.86</v>
      </c>
    </row>
    <row r="152" spans="34:34" x14ac:dyDescent="0.3">
      <c r="AH152" s="7">
        <v>747.28</v>
      </c>
    </row>
    <row r="153" spans="34:34" x14ac:dyDescent="0.3">
      <c r="AH153" s="7">
        <v>18.670000000000002</v>
      </c>
    </row>
    <row r="154" spans="34:34" x14ac:dyDescent="0.3">
      <c r="AH154" s="7">
        <v>210.77</v>
      </c>
    </row>
    <row r="155" spans="34:34" x14ac:dyDescent="0.3">
      <c r="AH155" s="7">
        <v>209.12</v>
      </c>
    </row>
    <row r="156" spans="34:34" x14ac:dyDescent="0.3">
      <c r="AH156" s="7">
        <v>1287.17</v>
      </c>
    </row>
    <row r="157" spans="34:34" x14ac:dyDescent="0.3">
      <c r="AH157" s="7">
        <v>46.17</v>
      </c>
    </row>
    <row r="158" spans="34:34" x14ac:dyDescent="0.3">
      <c r="AH158" s="7">
        <v>899.81</v>
      </c>
    </row>
    <row r="159" spans="34:34" x14ac:dyDescent="0.3">
      <c r="AH159" s="7">
        <v>68.459999999999994</v>
      </c>
    </row>
    <row r="160" spans="34:34" x14ac:dyDescent="0.3">
      <c r="AH160" s="7">
        <v>885.23</v>
      </c>
    </row>
    <row r="161" spans="34:34" x14ac:dyDescent="0.3">
      <c r="AH161" s="7">
        <v>836.47</v>
      </c>
    </row>
    <row r="162" spans="34:34" x14ac:dyDescent="0.3">
      <c r="AH162" s="7">
        <v>189.83</v>
      </c>
    </row>
    <row r="163" spans="34:34" x14ac:dyDescent="0.3">
      <c r="AH163" s="7">
        <v>61.52</v>
      </c>
    </row>
    <row r="164" spans="34:34" x14ac:dyDescent="0.3">
      <c r="AH164" s="7">
        <v>8.3000000000000007</v>
      </c>
    </row>
    <row r="165" spans="34:34" x14ac:dyDescent="0.3">
      <c r="AH165" s="7">
        <v>416.95</v>
      </c>
    </row>
    <row r="166" spans="34:34" x14ac:dyDescent="0.3">
      <c r="AH166" s="7">
        <v>18.71</v>
      </c>
    </row>
    <row r="167" spans="34:34" x14ac:dyDescent="0.3">
      <c r="AH167" s="7">
        <v>40.950000000000003</v>
      </c>
    </row>
    <row r="168" spans="34:34" x14ac:dyDescent="0.3">
      <c r="AH168" s="7">
        <v>1155.73</v>
      </c>
    </row>
    <row r="169" spans="34:34" x14ac:dyDescent="0.3">
      <c r="AH169" s="7">
        <v>192.3</v>
      </c>
    </row>
    <row r="170" spans="34:34" x14ac:dyDescent="0.3">
      <c r="AH170" s="7">
        <v>748.1</v>
      </c>
    </row>
    <row r="171" spans="34:34" x14ac:dyDescent="0.3">
      <c r="AH171" s="7">
        <v>102.54</v>
      </c>
    </row>
    <row r="172" spans="34:34" x14ac:dyDescent="0.3">
      <c r="AH172" s="7">
        <v>70.16</v>
      </c>
    </row>
    <row r="173" spans="34:34" x14ac:dyDescent="0.3">
      <c r="AH173" s="7">
        <v>1240.57</v>
      </c>
    </row>
    <row r="174" spans="34:34" x14ac:dyDescent="0.3">
      <c r="AH174" s="7">
        <v>280.62</v>
      </c>
    </row>
    <row r="175" spans="34:34" x14ac:dyDescent="0.3">
      <c r="AH175" s="7">
        <v>3206.94</v>
      </c>
    </row>
    <row r="176" spans="34:34" x14ac:dyDescent="0.3">
      <c r="AH176" s="7">
        <v>43.08</v>
      </c>
    </row>
    <row r="177" spans="34:34" x14ac:dyDescent="0.3">
      <c r="AH177" s="7">
        <v>66.55</v>
      </c>
    </row>
    <row r="178" spans="34:34" x14ac:dyDescent="0.3">
      <c r="AH178" s="7">
        <v>103.49</v>
      </c>
    </row>
    <row r="179" spans="34:34" x14ac:dyDescent="0.3">
      <c r="AH179" s="7">
        <v>192.18</v>
      </c>
    </row>
    <row r="180" spans="34:34" x14ac:dyDescent="0.3">
      <c r="AH180" s="7">
        <v>89.76</v>
      </c>
    </row>
    <row r="181" spans="34:34" x14ac:dyDescent="0.3">
      <c r="AH181" s="7">
        <v>28.46</v>
      </c>
    </row>
    <row r="182" spans="34:34" x14ac:dyDescent="0.3">
      <c r="AH182" s="7">
        <v>1170.21</v>
      </c>
    </row>
    <row r="183" spans="34:34" x14ac:dyDescent="0.3">
      <c r="AH183" s="7">
        <v>243.32</v>
      </c>
    </row>
    <row r="184" spans="34:34" x14ac:dyDescent="0.3">
      <c r="AH184" s="7">
        <v>3825.32</v>
      </c>
    </row>
    <row r="185" spans="34:34" x14ac:dyDescent="0.3">
      <c r="AH185" s="7">
        <v>8.5299999999999994</v>
      </c>
    </row>
    <row r="186" spans="34:34" x14ac:dyDescent="0.3">
      <c r="AH186" s="7">
        <v>40.299999999999997</v>
      </c>
    </row>
    <row r="187" spans="34:34" x14ac:dyDescent="0.3">
      <c r="AH187" s="7">
        <v>111.88</v>
      </c>
    </row>
    <row r="188" spans="34:34" x14ac:dyDescent="0.3">
      <c r="AH188" s="7">
        <v>73.97</v>
      </c>
    </row>
    <row r="189" spans="34:34" x14ac:dyDescent="0.3">
      <c r="AH189" s="7">
        <v>111.86</v>
      </c>
    </row>
    <row r="190" spans="34:34" x14ac:dyDescent="0.3">
      <c r="AH190" s="7">
        <v>18.489999999999998</v>
      </c>
    </row>
    <row r="191" spans="34:34" x14ac:dyDescent="0.3">
      <c r="AH191" s="7">
        <v>212.89</v>
      </c>
    </row>
    <row r="192" spans="34:34" x14ac:dyDescent="0.3">
      <c r="AH192" s="7">
        <v>5555.6</v>
      </c>
    </row>
    <row r="193" spans="34:34" x14ac:dyDescent="0.3">
      <c r="AH193" s="7">
        <v>55.54</v>
      </c>
    </row>
    <row r="194" spans="34:34" x14ac:dyDescent="0.3">
      <c r="AH194" s="7">
        <v>1440.34</v>
      </c>
    </row>
    <row r="195" spans="34:34" x14ac:dyDescent="0.3">
      <c r="AH195" s="7">
        <v>84.76</v>
      </c>
    </row>
    <row r="196" spans="34:34" x14ac:dyDescent="0.3">
      <c r="AH196" s="7">
        <v>104.84</v>
      </c>
    </row>
    <row r="197" spans="34:34" x14ac:dyDescent="0.3">
      <c r="AH197" s="7">
        <v>1714.93</v>
      </c>
    </row>
    <row r="198" spans="34:34" x14ac:dyDescent="0.3">
      <c r="AH198" s="7">
        <v>107.95</v>
      </c>
    </row>
    <row r="199" spans="34:34" x14ac:dyDescent="0.3">
      <c r="AH199" s="7">
        <v>1967.98</v>
      </c>
    </row>
    <row r="200" spans="34:34" x14ac:dyDescent="0.3">
      <c r="AH200" s="7">
        <v>394.1</v>
      </c>
    </row>
    <row r="201" spans="34:34" x14ac:dyDescent="0.3">
      <c r="AH201" s="7">
        <v>266.39</v>
      </c>
    </row>
    <row r="202" spans="34:34" x14ac:dyDescent="0.3">
      <c r="AH202" s="7">
        <v>51.82</v>
      </c>
    </row>
    <row r="203" spans="34:34" x14ac:dyDescent="0.3">
      <c r="AH203" s="7">
        <v>9539.6</v>
      </c>
    </row>
    <row r="204" spans="34:34" x14ac:dyDescent="0.3">
      <c r="AH204" s="7">
        <v>109.86</v>
      </c>
    </row>
    <row r="205" spans="34:34" x14ac:dyDescent="0.3">
      <c r="AH205" s="7">
        <v>1426.51</v>
      </c>
    </row>
    <row r="206" spans="34:34" x14ac:dyDescent="0.3">
      <c r="AH206" s="7">
        <v>2331.9</v>
      </c>
    </row>
    <row r="207" spans="34:34" x14ac:dyDescent="0.3">
      <c r="AH207" s="7">
        <v>27.47</v>
      </c>
    </row>
    <row r="208" spans="34:34" x14ac:dyDescent="0.3">
      <c r="AH208" s="7">
        <v>460.87</v>
      </c>
    </row>
    <row r="209" spans="34:34" x14ac:dyDescent="0.3">
      <c r="AH209" s="7">
        <v>394.51</v>
      </c>
    </row>
    <row r="210" spans="34:34" x14ac:dyDescent="0.3">
      <c r="AH210" s="7">
        <v>38.65</v>
      </c>
    </row>
    <row r="211" spans="34:34" x14ac:dyDescent="0.3">
      <c r="AH211" s="7">
        <v>279.83</v>
      </c>
    </row>
    <row r="212" spans="34:34" x14ac:dyDescent="0.3">
      <c r="AH212" s="7">
        <v>126.9</v>
      </c>
    </row>
    <row r="213" spans="34:34" x14ac:dyDescent="0.3">
      <c r="AH213" s="7">
        <v>22.82</v>
      </c>
    </row>
    <row r="214" spans="34:34" x14ac:dyDescent="0.3">
      <c r="AH214" s="7">
        <v>188.66</v>
      </c>
    </row>
    <row r="215" spans="34:34" x14ac:dyDescent="0.3">
      <c r="AH215" s="7">
        <v>1845.23</v>
      </c>
    </row>
    <row r="216" spans="34:34" x14ac:dyDescent="0.3">
      <c r="AH216" s="7">
        <v>37.159999999999997</v>
      </c>
    </row>
    <row r="217" spans="34:34" x14ac:dyDescent="0.3">
      <c r="AH217" s="7">
        <v>43.65</v>
      </c>
    </row>
    <row r="218" spans="34:34" x14ac:dyDescent="0.3">
      <c r="AH218" s="7">
        <v>31.44</v>
      </c>
    </row>
    <row r="219" spans="34:34" x14ac:dyDescent="0.3">
      <c r="AH219" s="7">
        <v>64.59</v>
      </c>
    </row>
    <row r="220" spans="34:34" x14ac:dyDescent="0.3">
      <c r="AH220" s="7">
        <v>461.94</v>
      </c>
    </row>
    <row r="221" spans="34:34" x14ac:dyDescent="0.3">
      <c r="AH221" s="7">
        <v>1216.32</v>
      </c>
    </row>
    <row r="222" spans="34:34" x14ac:dyDescent="0.3">
      <c r="AH222" s="7">
        <v>1989.32</v>
      </c>
    </row>
    <row r="223" spans="34:34" x14ac:dyDescent="0.3">
      <c r="AH223" s="7">
        <v>72.760000000000005</v>
      </c>
    </row>
    <row r="224" spans="34:34" x14ac:dyDescent="0.3">
      <c r="AH224" s="7">
        <v>400.47</v>
      </c>
    </row>
    <row r="225" spans="34:34" x14ac:dyDescent="0.3">
      <c r="AH225" s="7">
        <v>1531.31</v>
      </c>
    </row>
    <row r="226" spans="34:34" x14ac:dyDescent="0.3">
      <c r="AH226" s="7">
        <v>919.09</v>
      </c>
    </row>
    <row r="227" spans="34:34" x14ac:dyDescent="0.3">
      <c r="AH227" s="7">
        <v>236.46</v>
      </c>
    </row>
    <row r="228" spans="34:34" x14ac:dyDescent="0.3">
      <c r="AH228" s="7">
        <v>73.819999999999993</v>
      </c>
    </row>
    <row r="229" spans="34:34" x14ac:dyDescent="0.3">
      <c r="AH229" s="7">
        <v>243.11</v>
      </c>
    </row>
    <row r="230" spans="34:34" x14ac:dyDescent="0.3">
      <c r="AH230" s="7">
        <v>952.26</v>
      </c>
    </row>
    <row r="231" spans="34:34" x14ac:dyDescent="0.3">
      <c r="AH231" s="7">
        <v>355.92</v>
      </c>
    </row>
    <row r="232" spans="34:34" x14ac:dyDescent="0.3">
      <c r="AH232" s="7">
        <v>101.71</v>
      </c>
    </row>
    <row r="233" spans="34:34" x14ac:dyDescent="0.3">
      <c r="AH233" s="7">
        <v>1766.68</v>
      </c>
    </row>
    <row r="234" spans="34:34" x14ac:dyDescent="0.3">
      <c r="AH234" s="7">
        <v>29.02</v>
      </c>
    </row>
    <row r="235" spans="34:34" x14ac:dyDescent="0.3">
      <c r="AH235" s="7">
        <v>159.51</v>
      </c>
    </row>
    <row r="236" spans="34:34" x14ac:dyDescent="0.3">
      <c r="AH236" s="7">
        <v>1838.85</v>
      </c>
    </row>
    <row r="237" spans="34:34" x14ac:dyDescent="0.3">
      <c r="AH237" s="7">
        <v>35.479999999999997</v>
      </c>
    </row>
    <row r="238" spans="34:34" x14ac:dyDescent="0.3">
      <c r="AH238" s="7">
        <v>434.31</v>
      </c>
    </row>
    <row r="239" spans="34:34" x14ac:dyDescent="0.3">
      <c r="AH239" s="7">
        <v>19.86</v>
      </c>
    </row>
    <row r="240" spans="34:34" x14ac:dyDescent="0.3">
      <c r="AH240" s="7">
        <v>23.26</v>
      </c>
    </row>
    <row r="241" spans="34:34" x14ac:dyDescent="0.3">
      <c r="AH241" s="7">
        <v>51.83</v>
      </c>
    </row>
    <row r="242" spans="34:34" x14ac:dyDescent="0.3">
      <c r="AH242" s="7">
        <v>32.4</v>
      </c>
    </row>
    <row r="243" spans="34:34" x14ac:dyDescent="0.3">
      <c r="AH243" s="7">
        <v>492.9</v>
      </c>
    </row>
    <row r="244" spans="34:34" x14ac:dyDescent="0.3">
      <c r="AH244" s="7">
        <v>1081.54</v>
      </c>
    </row>
    <row r="245" spans="34:34" x14ac:dyDescent="0.3">
      <c r="AH245" s="7">
        <v>1132.8399999999999</v>
      </c>
    </row>
    <row r="246" spans="34:34" x14ac:dyDescent="0.3">
      <c r="AH246" s="7">
        <v>143.63</v>
      </c>
    </row>
    <row r="247" spans="34:34" x14ac:dyDescent="0.3">
      <c r="AH247" s="7">
        <v>73.040000000000006</v>
      </c>
    </row>
    <row r="248" spans="34:34" x14ac:dyDescent="0.3">
      <c r="AH248" s="7">
        <v>33.35</v>
      </c>
    </row>
    <row r="249" spans="34:34" x14ac:dyDescent="0.3">
      <c r="AH249" s="7">
        <v>60.24</v>
      </c>
    </row>
    <row r="250" spans="34:34" x14ac:dyDescent="0.3">
      <c r="AH250" s="7">
        <v>718.03</v>
      </c>
    </row>
    <row r="251" spans="34:34" x14ac:dyDescent="0.3">
      <c r="AH251" s="7">
        <v>179.51</v>
      </c>
    </row>
    <row r="252" spans="34:34" x14ac:dyDescent="0.3">
      <c r="AH252" s="7">
        <v>73.180000000000007</v>
      </c>
    </row>
    <row r="253" spans="34:34" x14ac:dyDescent="0.3">
      <c r="AH253" s="7">
        <v>8.82</v>
      </c>
    </row>
    <row r="254" spans="34:34" x14ac:dyDescent="0.3">
      <c r="AH254" s="7">
        <v>5976.09</v>
      </c>
    </row>
    <row r="255" spans="34:34" x14ac:dyDescent="0.3">
      <c r="AH255" s="7">
        <v>8.77</v>
      </c>
    </row>
    <row r="256" spans="34:34" x14ac:dyDescent="0.3">
      <c r="AH256" s="7">
        <v>20.87</v>
      </c>
    </row>
    <row r="257" spans="34:34" x14ac:dyDescent="0.3">
      <c r="AH257" s="7">
        <v>25.7</v>
      </c>
    </row>
    <row r="258" spans="34:34" x14ac:dyDescent="0.3">
      <c r="AH258" s="7">
        <v>229.57</v>
      </c>
    </row>
    <row r="259" spans="34:34" x14ac:dyDescent="0.3">
      <c r="AH259" s="7">
        <v>66.7</v>
      </c>
    </row>
    <row r="260" spans="34:34" x14ac:dyDescent="0.3">
      <c r="AH260" s="7">
        <v>217</v>
      </c>
    </row>
    <row r="261" spans="34:34" x14ac:dyDescent="0.3">
      <c r="AH261" s="7">
        <v>31670.6</v>
      </c>
    </row>
    <row r="262" spans="34:34" x14ac:dyDescent="0.3">
      <c r="AH262" s="7">
        <v>239.82</v>
      </c>
    </row>
    <row r="263" spans="34:34" x14ac:dyDescent="0.3">
      <c r="AH263" s="7">
        <v>66.709999999999994</v>
      </c>
    </row>
    <row r="264" spans="34:34" x14ac:dyDescent="0.3">
      <c r="AH264" s="7">
        <v>87.16</v>
      </c>
    </row>
    <row r="265" spans="34:34" x14ac:dyDescent="0.3">
      <c r="AH265" s="7">
        <v>101.26</v>
      </c>
    </row>
    <row r="266" spans="34:34" x14ac:dyDescent="0.3">
      <c r="AH266" s="7">
        <v>17.399999999999999</v>
      </c>
    </row>
    <row r="267" spans="34:34" x14ac:dyDescent="0.3">
      <c r="AH267" s="7">
        <v>52.93</v>
      </c>
    </row>
    <row r="268" spans="34:34" x14ac:dyDescent="0.3">
      <c r="AH268" s="7">
        <v>8637.44</v>
      </c>
    </row>
    <row r="269" spans="34:34" x14ac:dyDescent="0.3">
      <c r="AH269" s="7">
        <v>59.95</v>
      </c>
    </row>
    <row r="270" spans="34:34" x14ac:dyDescent="0.3">
      <c r="AH270" s="7">
        <v>5062.49</v>
      </c>
    </row>
    <row r="271" spans="34:34" x14ac:dyDescent="0.3">
      <c r="AH271" s="7">
        <v>646.97</v>
      </c>
    </row>
    <row r="272" spans="34:34" x14ac:dyDescent="0.3">
      <c r="AH272" s="7">
        <v>946.29</v>
      </c>
    </row>
    <row r="273" spans="34:34" x14ac:dyDescent="0.3">
      <c r="AH273" s="7">
        <v>123</v>
      </c>
    </row>
    <row r="274" spans="34:34" x14ac:dyDescent="0.3">
      <c r="AH274" s="7">
        <v>554.08000000000004</v>
      </c>
    </row>
    <row r="275" spans="34:34" x14ac:dyDescent="0.3">
      <c r="AH275" s="7">
        <v>152.54</v>
      </c>
    </row>
    <row r="276" spans="34:34" x14ac:dyDescent="0.3">
      <c r="AH276" s="7">
        <v>89.79</v>
      </c>
    </row>
    <row r="277" spans="34:34" x14ac:dyDescent="0.3">
      <c r="AH277" s="7">
        <v>199.76</v>
      </c>
    </row>
    <row r="278" spans="34:34" x14ac:dyDescent="0.3">
      <c r="AH278" s="7">
        <v>480.37</v>
      </c>
    </row>
    <row r="279" spans="34:34" x14ac:dyDescent="0.3">
      <c r="AH279" s="7">
        <v>5.76</v>
      </c>
    </row>
    <row r="280" spans="34:34" x14ac:dyDescent="0.3">
      <c r="AH280" s="7">
        <v>3112.13</v>
      </c>
    </row>
    <row r="281" spans="34:34" x14ac:dyDescent="0.3">
      <c r="AH281" s="7">
        <v>2589.0100000000002</v>
      </c>
    </row>
    <row r="282" spans="34:34" x14ac:dyDescent="0.3">
      <c r="AH282" s="7">
        <v>1893.93</v>
      </c>
    </row>
    <row r="283" spans="34:34" x14ac:dyDescent="0.3">
      <c r="AH283" s="7">
        <v>211.13</v>
      </c>
    </row>
    <row r="284" spans="34:34" x14ac:dyDescent="0.3">
      <c r="AH284" s="7">
        <v>25.39</v>
      </c>
    </row>
    <row r="285" spans="34:34" x14ac:dyDescent="0.3">
      <c r="AH285" s="7">
        <v>87.27</v>
      </c>
    </row>
    <row r="286" spans="34:34" x14ac:dyDescent="0.3">
      <c r="AH286" s="7">
        <v>403.25</v>
      </c>
    </row>
    <row r="287" spans="34:34" x14ac:dyDescent="0.3">
      <c r="AH287" s="7">
        <v>414.49</v>
      </c>
    </row>
    <row r="288" spans="34:34" x14ac:dyDescent="0.3">
      <c r="AH288" s="7">
        <v>469.69</v>
      </c>
    </row>
    <row r="289" spans="34:34" x14ac:dyDescent="0.3">
      <c r="AH289" s="7">
        <v>8585.67</v>
      </c>
    </row>
    <row r="290" spans="34:34" x14ac:dyDescent="0.3">
      <c r="AH290" s="7">
        <v>57.37</v>
      </c>
    </row>
    <row r="291" spans="34:34" x14ac:dyDescent="0.3">
      <c r="AH291" s="7">
        <v>66.319999999999993</v>
      </c>
    </row>
    <row r="292" spans="34:34" x14ac:dyDescent="0.3">
      <c r="AH292" s="7">
        <v>18.75</v>
      </c>
    </row>
    <row r="293" spans="34:34" x14ac:dyDescent="0.3">
      <c r="AH293" s="7">
        <v>188.51</v>
      </c>
    </row>
    <row r="294" spans="34:34" x14ac:dyDescent="0.3">
      <c r="AH294" s="7">
        <v>6720.88</v>
      </c>
    </row>
    <row r="295" spans="34:34" x14ac:dyDescent="0.3">
      <c r="AH295" s="7">
        <v>102.21</v>
      </c>
    </row>
    <row r="296" spans="34:34" x14ac:dyDescent="0.3">
      <c r="AH296" s="7">
        <v>31.18</v>
      </c>
    </row>
    <row r="297" spans="34:34" x14ac:dyDescent="0.3">
      <c r="AH297" s="7">
        <v>267.52999999999997</v>
      </c>
    </row>
    <row r="298" spans="34:34" x14ac:dyDescent="0.3">
      <c r="AH298" s="7">
        <v>43046.2</v>
      </c>
    </row>
    <row r="299" spans="34:34" x14ac:dyDescent="0.3">
      <c r="AH299" s="7">
        <v>330.21</v>
      </c>
    </row>
    <row r="300" spans="34:34" x14ac:dyDescent="0.3">
      <c r="AH300" s="7">
        <v>6831.37</v>
      </c>
    </row>
    <row r="301" spans="34:34" x14ac:dyDescent="0.3">
      <c r="AH301" s="7">
        <v>10331.09</v>
      </c>
    </row>
    <row r="302" spans="34:34" x14ac:dyDescent="0.3">
      <c r="AH302" s="7">
        <v>83.86</v>
      </c>
    </row>
    <row r="303" spans="34:34" x14ac:dyDescent="0.3">
      <c r="AH303" s="7">
        <v>1707.84</v>
      </c>
    </row>
    <row r="304" spans="34:34" x14ac:dyDescent="0.3">
      <c r="AH304" s="7">
        <v>66.88</v>
      </c>
    </row>
    <row r="305" spans="34:34" x14ac:dyDescent="0.3">
      <c r="AH305" s="7">
        <v>274.91000000000003</v>
      </c>
    </row>
    <row r="306" spans="34:34" x14ac:dyDescent="0.3">
      <c r="AH306" s="7">
        <v>1128.74</v>
      </c>
    </row>
    <row r="307" spans="34:34" x14ac:dyDescent="0.3">
      <c r="AH307" s="7">
        <v>805.99</v>
      </c>
    </row>
    <row r="308" spans="34:34" x14ac:dyDescent="0.3">
      <c r="AH308" s="7">
        <v>1066.54</v>
      </c>
    </row>
    <row r="309" spans="34:34" x14ac:dyDescent="0.3">
      <c r="AH309" s="7">
        <v>65.739999999999995</v>
      </c>
    </row>
    <row r="310" spans="34:34" x14ac:dyDescent="0.3">
      <c r="AH310" s="7">
        <v>5.84</v>
      </c>
    </row>
    <row r="311" spans="34:34" x14ac:dyDescent="0.3">
      <c r="AH311" s="7">
        <v>405.57</v>
      </c>
    </row>
    <row r="312" spans="34:34" x14ac:dyDescent="0.3">
      <c r="AH312" s="7">
        <v>32.6</v>
      </c>
    </row>
    <row r="313" spans="34:34" x14ac:dyDescent="0.3">
      <c r="AH313" s="7">
        <v>515.88</v>
      </c>
    </row>
    <row r="314" spans="34:34" x14ac:dyDescent="0.3">
      <c r="AH314" s="7">
        <v>25.06</v>
      </c>
    </row>
    <row r="315" spans="34:34" x14ac:dyDescent="0.3">
      <c r="AH315" s="7">
        <v>578.24</v>
      </c>
    </row>
    <row r="316" spans="34:34" x14ac:dyDescent="0.3">
      <c r="AH316" s="7">
        <v>116.93</v>
      </c>
    </row>
    <row r="317" spans="34:34" x14ac:dyDescent="0.3">
      <c r="AH317" s="7">
        <v>170.45</v>
      </c>
    </row>
    <row r="318" spans="34:34" x14ac:dyDescent="0.3">
      <c r="AH318" s="7">
        <v>285.87</v>
      </c>
    </row>
    <row r="319" spans="34:34" x14ac:dyDescent="0.3">
      <c r="AH319" s="7">
        <v>20.37</v>
      </c>
    </row>
    <row r="320" spans="34:34" x14ac:dyDescent="0.3">
      <c r="AH320" s="7">
        <v>17.440000000000001</v>
      </c>
    </row>
    <row r="321" spans="34:34" x14ac:dyDescent="0.3">
      <c r="AH321" s="7">
        <v>702.68</v>
      </c>
    </row>
    <row r="322" spans="34:34" x14ac:dyDescent="0.3">
      <c r="AH322" s="7">
        <v>67.239999999999995</v>
      </c>
    </row>
    <row r="323" spans="34:34" x14ac:dyDescent="0.3">
      <c r="AH323" s="7">
        <v>24.27</v>
      </c>
    </row>
    <row r="324" spans="34:34" x14ac:dyDescent="0.3">
      <c r="AH324" s="7">
        <v>38.53</v>
      </c>
    </row>
    <row r="325" spans="34:34" x14ac:dyDescent="0.3">
      <c r="AH325" s="7">
        <v>4910.72</v>
      </c>
    </row>
    <row r="326" spans="34:34" x14ac:dyDescent="0.3">
      <c r="AH326" s="7">
        <v>116.8</v>
      </c>
    </row>
    <row r="327" spans="34:34" x14ac:dyDescent="0.3">
      <c r="AH327" s="7">
        <v>32.39</v>
      </c>
    </row>
    <row r="328" spans="34:34" x14ac:dyDescent="0.3">
      <c r="AH328" s="7">
        <v>227.79</v>
      </c>
    </row>
    <row r="329" spans="34:34" x14ac:dyDescent="0.3">
      <c r="AH329" s="7">
        <v>5679.59</v>
      </c>
    </row>
    <row r="330" spans="34:34" x14ac:dyDescent="0.3">
      <c r="AH330" s="7">
        <v>102.32</v>
      </c>
    </row>
    <row r="331" spans="34:34" x14ac:dyDescent="0.3">
      <c r="AH331" s="7">
        <v>1494.63</v>
      </c>
    </row>
    <row r="332" spans="34:34" x14ac:dyDescent="0.3">
      <c r="AH332" s="7">
        <v>46.23</v>
      </c>
    </row>
    <row r="333" spans="34:34" x14ac:dyDescent="0.3">
      <c r="AH333" s="7">
        <v>279.27999999999997</v>
      </c>
    </row>
    <row r="334" spans="34:34" x14ac:dyDescent="0.3">
      <c r="AH334" s="7">
        <v>70.06</v>
      </c>
    </row>
    <row r="335" spans="34:34" x14ac:dyDescent="0.3">
      <c r="AH335" s="7">
        <v>81.819999999999993</v>
      </c>
    </row>
    <row r="336" spans="34:34" x14ac:dyDescent="0.3">
      <c r="AH336" s="7">
        <v>13.16</v>
      </c>
    </row>
    <row r="337" spans="34:34" x14ac:dyDescent="0.3">
      <c r="AH337" s="7">
        <v>205.98</v>
      </c>
    </row>
    <row r="338" spans="34:34" x14ac:dyDescent="0.3">
      <c r="AH338" s="7">
        <v>31.46</v>
      </c>
    </row>
    <row r="339" spans="34:34" x14ac:dyDescent="0.3">
      <c r="AH339" s="7">
        <v>948.97</v>
      </c>
    </row>
    <row r="340" spans="34:34" x14ac:dyDescent="0.3">
      <c r="AH340" s="7">
        <v>136.99</v>
      </c>
    </row>
    <row r="341" spans="34:34" x14ac:dyDescent="0.3">
      <c r="AH341" s="7">
        <v>99.36</v>
      </c>
    </row>
    <row r="342" spans="34:34" x14ac:dyDescent="0.3">
      <c r="AH342" s="7">
        <v>9580</v>
      </c>
    </row>
    <row r="343" spans="34:34" x14ac:dyDescent="0.3">
      <c r="AH343" s="7">
        <v>28.32</v>
      </c>
    </row>
    <row r="344" spans="34:34" x14ac:dyDescent="0.3">
      <c r="AH344" s="7">
        <v>2309.4899999999998</v>
      </c>
    </row>
    <row r="345" spans="34:34" x14ac:dyDescent="0.3">
      <c r="AH345" s="7">
        <v>1232.01</v>
      </c>
    </row>
    <row r="346" spans="34:34" x14ac:dyDescent="0.3">
      <c r="AH346" s="7">
        <v>506.38</v>
      </c>
    </row>
    <row r="347" spans="34:34" x14ac:dyDescent="0.3">
      <c r="AH347" s="7">
        <v>1042.72</v>
      </c>
    </row>
    <row r="348" spans="34:34" x14ac:dyDescent="0.3">
      <c r="AH348" s="7">
        <v>1769.91</v>
      </c>
    </row>
    <row r="349" spans="34:34" x14ac:dyDescent="0.3">
      <c r="AH349" s="7">
        <v>6686.34</v>
      </c>
    </row>
    <row r="350" spans="34:34" x14ac:dyDescent="0.3">
      <c r="AH350" s="7">
        <v>4620.05</v>
      </c>
    </row>
    <row r="351" spans="34:34" x14ac:dyDescent="0.3">
      <c r="AH351" s="7">
        <v>1912.98</v>
      </c>
    </row>
    <row r="352" spans="34:34" x14ac:dyDescent="0.3">
      <c r="AH352" s="7">
        <v>4170.87</v>
      </c>
    </row>
    <row r="353" spans="34:34" x14ac:dyDescent="0.3">
      <c r="AH353" s="7">
        <v>818.81</v>
      </c>
    </row>
    <row r="354" spans="34:34" x14ac:dyDescent="0.3">
      <c r="AH354" s="7">
        <v>34.11</v>
      </c>
    </row>
    <row r="355" spans="34:34" x14ac:dyDescent="0.3">
      <c r="AH355" s="7">
        <v>154.71</v>
      </c>
    </row>
    <row r="356" spans="34:34" x14ac:dyDescent="0.3">
      <c r="AH356" s="7">
        <v>192.33</v>
      </c>
    </row>
    <row r="357" spans="34:34" x14ac:dyDescent="0.3">
      <c r="AH357" s="7">
        <v>6901.25</v>
      </c>
    </row>
    <row r="358" spans="34:34" x14ac:dyDescent="0.3">
      <c r="AH358" s="7">
        <v>148.94</v>
      </c>
    </row>
    <row r="359" spans="34:34" x14ac:dyDescent="0.3">
      <c r="AH359" s="7">
        <v>200.68</v>
      </c>
    </row>
    <row r="360" spans="34:34" x14ac:dyDescent="0.3">
      <c r="AH360" s="7">
        <v>29.92</v>
      </c>
    </row>
    <row r="361" spans="34:34" x14ac:dyDescent="0.3">
      <c r="AH361" s="7">
        <v>19.73</v>
      </c>
    </row>
    <row r="362" spans="34:34" x14ac:dyDescent="0.3">
      <c r="AH362" s="7">
        <v>615.54</v>
      </c>
    </row>
    <row r="363" spans="34:34" x14ac:dyDescent="0.3">
      <c r="AH363" s="7">
        <v>261.33999999999997</v>
      </c>
    </row>
    <row r="364" spans="34:34" x14ac:dyDescent="0.3">
      <c r="AH364" s="7">
        <v>202.41</v>
      </c>
    </row>
    <row r="365" spans="34:34" x14ac:dyDescent="0.3">
      <c r="AH365" s="7">
        <v>793.39</v>
      </c>
    </row>
    <row r="366" spans="34:34" x14ac:dyDescent="0.3">
      <c r="AH366" s="7">
        <v>54.04</v>
      </c>
    </row>
    <row r="367" spans="34:34" x14ac:dyDescent="0.3">
      <c r="AH367" s="7">
        <v>832.14</v>
      </c>
    </row>
    <row r="368" spans="34:34" x14ac:dyDescent="0.3">
      <c r="AH368" s="7">
        <v>221.06</v>
      </c>
    </row>
    <row r="369" spans="34:34" x14ac:dyDescent="0.3">
      <c r="AH369" s="7">
        <v>58.67</v>
      </c>
    </row>
    <row r="370" spans="34:34" x14ac:dyDescent="0.3">
      <c r="AH370" s="7">
        <v>101.06</v>
      </c>
    </row>
    <row r="371" spans="34:34" x14ac:dyDescent="0.3">
      <c r="AH371" s="7">
        <v>1429.81</v>
      </c>
    </row>
    <row r="372" spans="34:34" x14ac:dyDescent="0.3">
      <c r="AH372" s="7">
        <v>34.97</v>
      </c>
    </row>
    <row r="373" spans="34:34" x14ac:dyDescent="0.3">
      <c r="AH373" s="7">
        <v>308.86</v>
      </c>
    </row>
    <row r="374" spans="34:34" x14ac:dyDescent="0.3">
      <c r="AH374" s="7">
        <v>485.01</v>
      </c>
    </row>
    <row r="375" spans="34:34" x14ac:dyDescent="0.3">
      <c r="AH375" s="7">
        <v>81.14</v>
      </c>
    </row>
    <row r="376" spans="34:34" x14ac:dyDescent="0.3">
      <c r="AH376" s="7">
        <v>10.11</v>
      </c>
    </row>
    <row r="377" spans="34:34" x14ac:dyDescent="0.3">
      <c r="AH377" s="7">
        <v>6621.17</v>
      </c>
    </row>
    <row r="378" spans="34:34" x14ac:dyDescent="0.3">
      <c r="AH378" s="7">
        <v>253.78</v>
      </c>
    </row>
    <row r="379" spans="34:34" x14ac:dyDescent="0.3">
      <c r="AH379" s="7">
        <v>69.959999999999994</v>
      </c>
    </row>
    <row r="380" spans="34:34" x14ac:dyDescent="0.3">
      <c r="AH380" s="7">
        <v>2716.09</v>
      </c>
    </row>
    <row r="381" spans="34:34" x14ac:dyDescent="0.3">
      <c r="AH381" s="7">
        <v>21.34</v>
      </c>
    </row>
    <row r="382" spans="34:34" x14ac:dyDescent="0.3">
      <c r="AH382" s="7">
        <v>17.420000000000002</v>
      </c>
    </row>
    <row r="383" spans="34:34" x14ac:dyDescent="0.3">
      <c r="AH383" s="7">
        <v>49.81</v>
      </c>
    </row>
    <row r="384" spans="34:34" x14ac:dyDescent="0.3">
      <c r="AH384" s="7">
        <v>3722.41</v>
      </c>
    </row>
    <row r="385" spans="34:34" x14ac:dyDescent="0.3">
      <c r="AH385" s="7">
        <v>95.1</v>
      </c>
    </row>
    <row r="386" spans="34:34" x14ac:dyDescent="0.3">
      <c r="AH386" s="7">
        <v>734.74</v>
      </c>
    </row>
    <row r="387" spans="34:34" x14ac:dyDescent="0.3">
      <c r="AH387" s="7">
        <v>1882.87</v>
      </c>
    </row>
    <row r="388" spans="34:34" x14ac:dyDescent="0.3">
      <c r="AH388" s="7">
        <v>8834.58</v>
      </c>
    </row>
    <row r="389" spans="34:34" x14ac:dyDescent="0.3">
      <c r="AH389" s="7">
        <v>78.540000000000006</v>
      </c>
    </row>
    <row r="390" spans="34:34" x14ac:dyDescent="0.3">
      <c r="AH390" s="7">
        <v>605.1</v>
      </c>
    </row>
    <row r="391" spans="34:34" x14ac:dyDescent="0.3">
      <c r="AH391" s="7">
        <v>355.84</v>
      </c>
    </row>
    <row r="392" spans="34:34" x14ac:dyDescent="0.3">
      <c r="AH392" s="7">
        <v>1346.32</v>
      </c>
    </row>
    <row r="393" spans="34:34" x14ac:dyDescent="0.3">
      <c r="AH393" s="7">
        <v>292.18</v>
      </c>
    </row>
    <row r="394" spans="34:34" x14ac:dyDescent="0.3">
      <c r="AH394" s="7">
        <v>322.02999999999997</v>
      </c>
    </row>
    <row r="395" spans="34:34" x14ac:dyDescent="0.3">
      <c r="AH395" s="7">
        <v>2470.84</v>
      </c>
    </row>
    <row r="396" spans="34:34" x14ac:dyDescent="0.3">
      <c r="AH396" s="7">
        <v>5250.66</v>
      </c>
    </row>
    <row r="397" spans="34:34" x14ac:dyDescent="0.3">
      <c r="AH397" s="7">
        <v>1423.35</v>
      </c>
    </row>
    <row r="398" spans="34:34" x14ac:dyDescent="0.3">
      <c r="AH398" s="7">
        <v>1154.1199999999999</v>
      </c>
    </row>
    <row r="399" spans="34:34" x14ac:dyDescent="0.3">
      <c r="AH399" s="7">
        <v>32.5</v>
      </c>
    </row>
    <row r="400" spans="34:34" x14ac:dyDescent="0.3">
      <c r="AH400" s="7">
        <v>193.95</v>
      </c>
    </row>
    <row r="401" spans="34:34" x14ac:dyDescent="0.3">
      <c r="AH401" s="7">
        <v>158.80000000000001</v>
      </c>
    </row>
    <row r="402" spans="34:34" x14ac:dyDescent="0.3">
      <c r="AH402" s="7">
        <v>274.26</v>
      </c>
    </row>
    <row r="403" spans="34:34" x14ac:dyDescent="0.3">
      <c r="AH403" s="7">
        <v>83.16</v>
      </c>
    </row>
    <row r="404" spans="34:34" x14ac:dyDescent="0.3">
      <c r="AH404" s="7">
        <v>261.93</v>
      </c>
    </row>
    <row r="405" spans="34:34" x14ac:dyDescent="0.3">
      <c r="AH405" s="7">
        <v>210.1</v>
      </c>
    </row>
    <row r="406" spans="34:34" x14ac:dyDescent="0.3">
      <c r="AH406" s="7">
        <v>6499.87</v>
      </c>
    </row>
    <row r="407" spans="34:34" x14ac:dyDescent="0.3">
      <c r="AH407" s="7">
        <v>351.56</v>
      </c>
    </row>
    <row r="408" spans="34:34" x14ac:dyDescent="0.3">
      <c r="AH408" s="7">
        <v>87.89</v>
      </c>
    </row>
    <row r="409" spans="34:34" x14ac:dyDescent="0.3">
      <c r="AH409" s="7">
        <v>6.5</v>
      </c>
    </row>
    <row r="410" spans="34:34" x14ac:dyDescent="0.3">
      <c r="AH410" s="7">
        <v>68.56</v>
      </c>
    </row>
    <row r="411" spans="34:34" x14ac:dyDescent="0.3">
      <c r="AH411" s="7">
        <v>20.79</v>
      </c>
    </row>
    <row r="412" spans="34:34" x14ac:dyDescent="0.3">
      <c r="AH412" s="7">
        <v>67.91</v>
      </c>
    </row>
    <row r="413" spans="34:34" x14ac:dyDescent="0.3">
      <c r="AH413" s="7">
        <v>40.369999999999997</v>
      </c>
    </row>
    <row r="414" spans="34:34" x14ac:dyDescent="0.3">
      <c r="AH414" s="7">
        <v>122.25</v>
      </c>
    </row>
    <row r="415" spans="34:34" x14ac:dyDescent="0.3">
      <c r="AH415" s="7">
        <v>206.09</v>
      </c>
    </row>
    <row r="416" spans="34:34" x14ac:dyDescent="0.3">
      <c r="AH416" s="7">
        <v>66.900000000000006</v>
      </c>
    </row>
    <row r="417" spans="34:34" x14ac:dyDescent="0.3">
      <c r="AH417" s="7">
        <v>43.13</v>
      </c>
    </row>
    <row r="418" spans="34:34" x14ac:dyDescent="0.3">
      <c r="AH418" s="7">
        <v>11.21</v>
      </c>
    </row>
    <row r="419" spans="34:34" x14ac:dyDescent="0.3">
      <c r="AH419" s="7">
        <v>100.38</v>
      </c>
    </row>
    <row r="420" spans="34:34" x14ac:dyDescent="0.3">
      <c r="AH420" s="7">
        <v>66.319999999999993</v>
      </c>
    </row>
    <row r="421" spans="34:34" x14ac:dyDescent="0.3">
      <c r="AH421" s="7">
        <v>1178.32</v>
      </c>
    </row>
    <row r="422" spans="34:34" x14ac:dyDescent="0.3">
      <c r="AH422" s="7">
        <v>2016.32</v>
      </c>
    </row>
    <row r="423" spans="34:34" x14ac:dyDescent="0.3">
      <c r="AH423" s="7">
        <v>612.25</v>
      </c>
    </row>
    <row r="424" spans="34:34" x14ac:dyDescent="0.3">
      <c r="AH424" s="7">
        <v>313.63</v>
      </c>
    </row>
    <row r="425" spans="34:34" x14ac:dyDescent="0.3">
      <c r="AH425" s="7">
        <v>397.17</v>
      </c>
    </row>
    <row r="426" spans="34:34" x14ac:dyDescent="0.3">
      <c r="AH426" s="7">
        <v>63.48</v>
      </c>
    </row>
    <row r="427" spans="34:34" x14ac:dyDescent="0.3">
      <c r="AH427" s="7">
        <v>47.64</v>
      </c>
    </row>
    <row r="428" spans="34:34" x14ac:dyDescent="0.3">
      <c r="AH428" s="7">
        <v>1545.58</v>
      </c>
    </row>
    <row r="429" spans="34:34" x14ac:dyDescent="0.3">
      <c r="AH429" s="7">
        <v>2104.9899999999998</v>
      </c>
    </row>
    <row r="430" spans="34:34" x14ac:dyDescent="0.3">
      <c r="AH430" s="7">
        <v>353.1</v>
      </c>
    </row>
    <row r="431" spans="34:34" x14ac:dyDescent="0.3">
      <c r="AH431" s="7">
        <v>257.52</v>
      </c>
    </row>
    <row r="432" spans="34:34" x14ac:dyDescent="0.3">
      <c r="AH432" s="7">
        <v>411.64</v>
      </c>
    </row>
    <row r="433" spans="34:34" x14ac:dyDescent="0.3">
      <c r="AH433" s="7">
        <v>17.59</v>
      </c>
    </row>
    <row r="434" spans="34:34" x14ac:dyDescent="0.3">
      <c r="AH434" s="7">
        <v>141.54</v>
      </c>
    </row>
    <row r="435" spans="34:34" x14ac:dyDescent="0.3">
      <c r="AH435" s="7">
        <v>905.4</v>
      </c>
    </row>
    <row r="436" spans="34:34" x14ac:dyDescent="0.3">
      <c r="AH436" s="7">
        <v>243.86</v>
      </c>
    </row>
    <row r="437" spans="34:34" x14ac:dyDescent="0.3">
      <c r="AH437" s="7">
        <v>39.97</v>
      </c>
    </row>
    <row r="438" spans="34:34" x14ac:dyDescent="0.3">
      <c r="AH438" s="7">
        <v>92.96</v>
      </c>
    </row>
    <row r="439" spans="34:34" x14ac:dyDescent="0.3">
      <c r="AH439" s="7">
        <v>1362.2</v>
      </c>
    </row>
    <row r="440" spans="34:34" x14ac:dyDescent="0.3">
      <c r="AH440" s="7">
        <v>336.64</v>
      </c>
    </row>
    <row r="441" spans="34:34" x14ac:dyDescent="0.3">
      <c r="AH441" s="7">
        <v>429.33</v>
      </c>
    </row>
    <row r="442" spans="34:34" x14ac:dyDescent="0.3">
      <c r="AH442" s="7">
        <v>44.66</v>
      </c>
    </row>
    <row r="443" spans="34:34" x14ac:dyDescent="0.3">
      <c r="AH443" s="7">
        <v>1619.95</v>
      </c>
    </row>
    <row r="444" spans="34:34" x14ac:dyDescent="0.3">
      <c r="AH444" s="7">
        <v>56.44</v>
      </c>
    </row>
    <row r="445" spans="34:34" x14ac:dyDescent="0.3">
      <c r="AH445" s="7">
        <v>56.73</v>
      </c>
    </row>
    <row r="446" spans="34:34" x14ac:dyDescent="0.3">
      <c r="AH446" s="7">
        <v>64.41</v>
      </c>
    </row>
    <row r="447" spans="34:34" x14ac:dyDescent="0.3">
      <c r="AH447" s="7">
        <v>344.57</v>
      </c>
    </row>
    <row r="448" spans="34:34" x14ac:dyDescent="0.3">
      <c r="AH448" s="7">
        <v>279.01</v>
      </c>
    </row>
    <row r="449" spans="34:34" x14ac:dyDescent="0.3">
      <c r="AH449" s="7">
        <v>614.99</v>
      </c>
    </row>
    <row r="450" spans="34:34" x14ac:dyDescent="0.3">
      <c r="AH450" s="7">
        <v>76.23</v>
      </c>
    </row>
    <row r="451" spans="34:34" x14ac:dyDescent="0.3">
      <c r="AH451" s="7">
        <v>99.92</v>
      </c>
    </row>
    <row r="452" spans="34:34" x14ac:dyDescent="0.3">
      <c r="AH452" s="7">
        <v>79.400000000000006</v>
      </c>
    </row>
    <row r="453" spans="34:34" x14ac:dyDescent="0.3">
      <c r="AH453" s="7">
        <v>15.49</v>
      </c>
    </row>
    <row r="454" spans="34:34" x14ac:dyDescent="0.3">
      <c r="AH454" s="7">
        <v>18.59</v>
      </c>
    </row>
    <row r="455" spans="34:34" x14ac:dyDescent="0.3">
      <c r="AH455" s="7">
        <v>834.08</v>
      </c>
    </row>
    <row r="456" spans="34:34" x14ac:dyDescent="0.3">
      <c r="AH456" s="7">
        <v>50.88</v>
      </c>
    </row>
    <row r="457" spans="34:34" x14ac:dyDescent="0.3">
      <c r="AH457" s="7">
        <v>958.46</v>
      </c>
    </row>
    <row r="458" spans="34:34" x14ac:dyDescent="0.3">
      <c r="AH458" s="7">
        <v>368.84</v>
      </c>
    </row>
    <row r="459" spans="34:34" x14ac:dyDescent="0.3">
      <c r="AH459" s="7">
        <v>30.86</v>
      </c>
    </row>
    <row r="460" spans="34:34" x14ac:dyDescent="0.3">
      <c r="AH460" s="7">
        <v>568.25</v>
      </c>
    </row>
    <row r="461" spans="34:34" x14ac:dyDescent="0.3">
      <c r="AH461" s="7">
        <v>126.66</v>
      </c>
    </row>
    <row r="462" spans="34:34" x14ac:dyDescent="0.3">
      <c r="AH462" s="7">
        <v>93.82</v>
      </c>
    </row>
    <row r="463" spans="34:34" x14ac:dyDescent="0.3">
      <c r="AH463" s="7">
        <v>8332.91</v>
      </c>
    </row>
    <row r="464" spans="34:34" x14ac:dyDescent="0.3">
      <c r="AH464" s="7">
        <v>5.9</v>
      </c>
    </row>
    <row r="465" spans="34:34" x14ac:dyDescent="0.3">
      <c r="AH465" s="7">
        <v>80.23</v>
      </c>
    </row>
    <row r="466" spans="34:34" x14ac:dyDescent="0.3">
      <c r="AH466" s="7">
        <v>2044.9</v>
      </c>
    </row>
    <row r="467" spans="34:34" x14ac:dyDescent="0.3">
      <c r="AH467" s="7">
        <v>53.3</v>
      </c>
    </row>
    <row r="468" spans="34:34" x14ac:dyDescent="0.3">
      <c r="AH468" s="7">
        <v>21.93</v>
      </c>
    </row>
    <row r="469" spans="34:34" x14ac:dyDescent="0.3">
      <c r="AH469" s="7">
        <v>28.46</v>
      </c>
    </row>
    <row r="470" spans="34:34" x14ac:dyDescent="0.3">
      <c r="AH470" s="7">
        <v>89.91</v>
      </c>
    </row>
    <row r="471" spans="34:34" x14ac:dyDescent="0.3">
      <c r="AH471" s="7">
        <v>138.51</v>
      </c>
    </row>
    <row r="472" spans="34:34" x14ac:dyDescent="0.3">
      <c r="AH472" s="7">
        <v>41.96</v>
      </c>
    </row>
    <row r="473" spans="34:34" x14ac:dyDescent="0.3">
      <c r="AH473" s="7">
        <v>300.63</v>
      </c>
    </row>
    <row r="474" spans="34:34" x14ac:dyDescent="0.3">
      <c r="AH474" s="7">
        <v>240.46</v>
      </c>
    </row>
    <row r="475" spans="34:34" x14ac:dyDescent="0.3">
      <c r="AH475" s="7">
        <v>74.08</v>
      </c>
    </row>
    <row r="476" spans="34:34" x14ac:dyDescent="0.3">
      <c r="AH476" s="7">
        <v>5.28</v>
      </c>
    </row>
    <row r="477" spans="34:34" x14ac:dyDescent="0.3">
      <c r="AH477" s="7">
        <v>50.83</v>
      </c>
    </row>
    <row r="478" spans="34:34" x14ac:dyDescent="0.3">
      <c r="AH478" s="7">
        <v>39.26</v>
      </c>
    </row>
    <row r="479" spans="34:34" x14ac:dyDescent="0.3">
      <c r="AH479" s="7">
        <v>606.51</v>
      </c>
    </row>
    <row r="480" spans="34:34" x14ac:dyDescent="0.3">
      <c r="AH480" s="7">
        <v>64.89</v>
      </c>
    </row>
    <row r="481" spans="34:34" x14ac:dyDescent="0.3">
      <c r="AH481" s="7">
        <v>267.2</v>
      </c>
    </row>
    <row r="482" spans="34:34" x14ac:dyDescent="0.3">
      <c r="AH482" s="7">
        <v>86.79</v>
      </c>
    </row>
    <row r="483" spans="34:34" x14ac:dyDescent="0.3">
      <c r="AH483" s="7">
        <v>292.37</v>
      </c>
    </row>
    <row r="484" spans="34:34" x14ac:dyDescent="0.3">
      <c r="AH484" s="7">
        <v>682.79</v>
      </c>
    </row>
    <row r="485" spans="34:34" x14ac:dyDescent="0.3">
      <c r="AH485" s="7">
        <v>125.77</v>
      </c>
    </row>
    <row r="486" spans="34:34" x14ac:dyDescent="0.3">
      <c r="AH486" s="7">
        <v>3918.98</v>
      </c>
    </row>
    <row r="487" spans="34:34" x14ac:dyDescent="0.3">
      <c r="AH487" s="7">
        <v>31.24</v>
      </c>
    </row>
    <row r="488" spans="34:34" x14ac:dyDescent="0.3">
      <c r="AH488" s="7">
        <v>74.77</v>
      </c>
    </row>
    <row r="489" spans="34:34" x14ac:dyDescent="0.3">
      <c r="AH489" s="7">
        <v>127.81</v>
      </c>
    </row>
    <row r="490" spans="34:34" x14ac:dyDescent="0.3">
      <c r="AH490" s="7">
        <v>78.59</v>
      </c>
    </row>
    <row r="491" spans="34:34" x14ac:dyDescent="0.3">
      <c r="AH491" s="7">
        <v>497.11</v>
      </c>
    </row>
    <row r="492" spans="34:34" x14ac:dyDescent="0.3">
      <c r="AH492" s="7">
        <v>27.02</v>
      </c>
    </row>
    <row r="493" spans="34:34" x14ac:dyDescent="0.3">
      <c r="AH493" s="7">
        <v>27.67</v>
      </c>
    </row>
    <row r="494" spans="34:34" x14ac:dyDescent="0.3">
      <c r="AH494" s="7">
        <v>1033.56</v>
      </c>
    </row>
    <row r="495" spans="34:34" x14ac:dyDescent="0.3">
      <c r="AH495" s="7">
        <v>19.97</v>
      </c>
    </row>
    <row r="496" spans="34:34" x14ac:dyDescent="0.3">
      <c r="AH496" s="7">
        <v>660.03</v>
      </c>
    </row>
    <row r="497" spans="34:34" x14ac:dyDescent="0.3">
      <c r="AH497" s="7">
        <v>199.12</v>
      </c>
    </row>
    <row r="498" spans="34:34" x14ac:dyDescent="0.3">
      <c r="AH498" s="7">
        <v>63.14</v>
      </c>
    </row>
    <row r="499" spans="34:34" x14ac:dyDescent="0.3">
      <c r="AH499" s="7">
        <v>44.85</v>
      </c>
    </row>
    <row r="500" spans="34:34" x14ac:dyDescent="0.3">
      <c r="AH500" s="7">
        <v>49.78</v>
      </c>
    </row>
    <row r="501" spans="34:34" x14ac:dyDescent="0.3">
      <c r="AH501" s="7">
        <v>16.62</v>
      </c>
    </row>
    <row r="502" spans="34:34" x14ac:dyDescent="0.3">
      <c r="AH502" s="7">
        <v>517.67999999999995</v>
      </c>
    </row>
    <row r="503" spans="34:34" x14ac:dyDescent="0.3">
      <c r="AH503" s="7">
        <v>573.30999999999995</v>
      </c>
    </row>
    <row r="504" spans="34:34" x14ac:dyDescent="0.3">
      <c r="AH504" s="7">
        <v>140.22999999999999</v>
      </c>
    </row>
    <row r="505" spans="34:34" x14ac:dyDescent="0.3">
      <c r="AH505" s="7">
        <v>594.44000000000005</v>
      </c>
    </row>
    <row r="506" spans="34:34" x14ac:dyDescent="0.3">
      <c r="AH506" s="7">
        <v>228.5</v>
      </c>
    </row>
    <row r="507" spans="34:34" x14ac:dyDescent="0.3">
      <c r="AH507" s="7">
        <v>191.1</v>
      </c>
    </row>
    <row r="508" spans="34:34" x14ac:dyDescent="0.3">
      <c r="AH508" s="7">
        <v>28.05</v>
      </c>
    </row>
    <row r="509" spans="34:34" x14ac:dyDescent="0.3">
      <c r="AH509" s="7">
        <v>151.77000000000001</v>
      </c>
    </row>
    <row r="510" spans="34:34" x14ac:dyDescent="0.3">
      <c r="AH510" s="7">
        <v>57.13</v>
      </c>
    </row>
    <row r="511" spans="34:34" x14ac:dyDescent="0.3">
      <c r="AH511" s="7">
        <v>116.92</v>
      </c>
    </row>
    <row r="512" spans="34:34" x14ac:dyDescent="0.3">
      <c r="AH512" s="7">
        <v>151.6</v>
      </c>
    </row>
    <row r="513" spans="34:34" x14ac:dyDescent="0.3">
      <c r="AH513" s="7">
        <v>31.73</v>
      </c>
    </row>
    <row r="514" spans="34:34" x14ac:dyDescent="0.3">
      <c r="AH514" s="7">
        <v>85.26</v>
      </c>
    </row>
    <row r="515" spans="34:34" x14ac:dyDescent="0.3">
      <c r="AH515" s="7">
        <v>16.600000000000001</v>
      </c>
    </row>
    <row r="516" spans="34:34" x14ac:dyDescent="0.3">
      <c r="AH516" s="7">
        <v>2285.41</v>
      </c>
    </row>
    <row r="517" spans="34:34" x14ac:dyDescent="0.3">
      <c r="AH517" s="7">
        <v>513.52</v>
      </c>
    </row>
    <row r="518" spans="34:34" x14ac:dyDescent="0.3">
      <c r="AH518" s="7">
        <v>346.52</v>
      </c>
    </row>
    <row r="519" spans="34:34" x14ac:dyDescent="0.3">
      <c r="AH519" s="7">
        <v>499.31</v>
      </c>
    </row>
    <row r="520" spans="34:34" x14ac:dyDescent="0.3">
      <c r="AH520" s="7">
        <v>73.099999999999994</v>
      </c>
    </row>
    <row r="521" spans="34:34" x14ac:dyDescent="0.3">
      <c r="AH521" s="7">
        <v>2115.06</v>
      </c>
    </row>
    <row r="522" spans="34:34" x14ac:dyDescent="0.3">
      <c r="AH522" s="7">
        <v>47.95</v>
      </c>
    </row>
    <row r="523" spans="34:34" x14ac:dyDescent="0.3">
      <c r="AH523" s="7">
        <v>134.38</v>
      </c>
    </row>
    <row r="524" spans="34:34" x14ac:dyDescent="0.3">
      <c r="AH524" s="7">
        <v>76.77</v>
      </c>
    </row>
    <row r="525" spans="34:34" x14ac:dyDescent="0.3">
      <c r="AH525" s="7">
        <v>782</v>
      </c>
    </row>
    <row r="526" spans="34:34" x14ac:dyDescent="0.3">
      <c r="AH526" s="7">
        <v>15.73</v>
      </c>
    </row>
    <row r="527" spans="34:34" x14ac:dyDescent="0.3">
      <c r="AH527" s="7">
        <v>1719.07</v>
      </c>
    </row>
    <row r="528" spans="34:34" x14ac:dyDescent="0.3">
      <c r="AH528" s="7">
        <v>8.41</v>
      </c>
    </row>
    <row r="529" spans="34:34" x14ac:dyDescent="0.3">
      <c r="AH529" s="7">
        <v>104.95</v>
      </c>
    </row>
    <row r="530" spans="34:34" x14ac:dyDescent="0.3">
      <c r="AH530" s="7">
        <v>166.59</v>
      </c>
    </row>
    <row r="531" spans="34:34" x14ac:dyDescent="0.3">
      <c r="AH531" s="7">
        <v>396.19</v>
      </c>
    </row>
    <row r="532" spans="34:34" x14ac:dyDescent="0.3">
      <c r="AH532" s="7">
        <v>98.7</v>
      </c>
    </row>
    <row r="533" spans="34:34" x14ac:dyDescent="0.3">
      <c r="AH533" s="7">
        <v>1782.44</v>
      </c>
    </row>
    <row r="534" spans="34:34" x14ac:dyDescent="0.3">
      <c r="AH534" s="7">
        <v>72.11</v>
      </c>
    </row>
    <row r="535" spans="34:34" x14ac:dyDescent="0.3">
      <c r="AH535" s="7">
        <v>124.81</v>
      </c>
    </row>
    <row r="536" spans="34:34" x14ac:dyDescent="0.3">
      <c r="AH536" s="7">
        <v>881.32</v>
      </c>
    </row>
    <row r="537" spans="34:34" x14ac:dyDescent="0.3">
      <c r="AH537" s="7">
        <v>41.6</v>
      </c>
    </row>
    <row r="538" spans="34:34" x14ac:dyDescent="0.3">
      <c r="AH538" s="7">
        <v>1497.22</v>
      </c>
    </row>
    <row r="539" spans="34:34" x14ac:dyDescent="0.3">
      <c r="AH539" s="7">
        <v>244.81</v>
      </c>
    </row>
    <row r="540" spans="34:34" x14ac:dyDescent="0.3">
      <c r="AH540" s="7">
        <v>4.55</v>
      </c>
    </row>
    <row r="541" spans="34:34" x14ac:dyDescent="0.3">
      <c r="AH541" s="7">
        <v>27.63</v>
      </c>
    </row>
    <row r="542" spans="34:34" x14ac:dyDescent="0.3">
      <c r="AH542" s="7">
        <v>31.21</v>
      </c>
    </row>
    <row r="543" spans="34:34" x14ac:dyDescent="0.3">
      <c r="AH543" s="7">
        <v>1214.03</v>
      </c>
    </row>
    <row r="544" spans="34:34" x14ac:dyDescent="0.3">
      <c r="AH544" s="7">
        <v>3.51</v>
      </c>
    </row>
    <row r="545" spans="34:34" x14ac:dyDescent="0.3">
      <c r="AH545" s="7">
        <v>120.12</v>
      </c>
    </row>
    <row r="546" spans="34:34" x14ac:dyDescent="0.3">
      <c r="AH546" s="7">
        <v>7.01</v>
      </c>
    </row>
    <row r="547" spans="34:34" x14ac:dyDescent="0.3">
      <c r="AH547" s="7">
        <v>1452.18</v>
      </c>
    </row>
    <row r="548" spans="34:34" x14ac:dyDescent="0.3">
      <c r="AH548" s="7">
        <v>619.38</v>
      </c>
    </row>
    <row r="549" spans="34:34" x14ac:dyDescent="0.3">
      <c r="AH549" s="7">
        <v>18.690000000000001</v>
      </c>
    </row>
    <row r="550" spans="34:34" x14ac:dyDescent="0.3">
      <c r="AH550" s="7">
        <v>8.8000000000000007</v>
      </c>
    </row>
    <row r="551" spans="34:34" x14ac:dyDescent="0.3">
      <c r="AH551" s="7">
        <v>477.2</v>
      </c>
    </row>
    <row r="552" spans="34:34" x14ac:dyDescent="0.3">
      <c r="AH552" s="7">
        <v>2848.38</v>
      </c>
    </row>
    <row r="553" spans="34:34" x14ac:dyDescent="0.3">
      <c r="AH553" s="7">
        <v>38.58</v>
      </c>
    </row>
    <row r="554" spans="34:34" x14ac:dyDescent="0.3">
      <c r="AH554" s="7">
        <v>810.47</v>
      </c>
    </row>
    <row r="555" spans="34:34" x14ac:dyDescent="0.3">
      <c r="AH555" s="7">
        <v>72.83</v>
      </c>
    </row>
    <row r="556" spans="34:34" x14ac:dyDescent="0.3">
      <c r="AH556" s="7">
        <v>63.66</v>
      </c>
    </row>
    <row r="557" spans="34:34" x14ac:dyDescent="0.3">
      <c r="AH557" s="7">
        <v>127.22</v>
      </c>
    </row>
    <row r="558" spans="34:34" x14ac:dyDescent="0.3">
      <c r="AH558" s="7">
        <v>432.44</v>
      </c>
    </row>
    <row r="559" spans="34:34" x14ac:dyDescent="0.3">
      <c r="AH559" s="7">
        <v>12.18</v>
      </c>
    </row>
    <row r="560" spans="34:34" x14ac:dyDescent="0.3">
      <c r="AH560" s="7">
        <v>950.43</v>
      </c>
    </row>
    <row r="561" spans="34:34" x14ac:dyDescent="0.3">
      <c r="AH561" s="7">
        <v>25.37</v>
      </c>
    </row>
    <row r="562" spans="34:34" x14ac:dyDescent="0.3">
      <c r="AH562" s="7">
        <v>6963.67</v>
      </c>
    </row>
    <row r="563" spans="34:34" x14ac:dyDescent="0.3">
      <c r="AH563" s="7">
        <v>160.16999999999999</v>
      </c>
    </row>
    <row r="564" spans="34:34" x14ac:dyDescent="0.3">
      <c r="AH564" s="7">
        <v>7.47</v>
      </c>
    </row>
    <row r="565" spans="34:34" x14ac:dyDescent="0.3">
      <c r="AH565" s="7">
        <v>370.81</v>
      </c>
    </row>
    <row r="566" spans="34:34" x14ac:dyDescent="0.3">
      <c r="AH566" s="7">
        <v>119.99</v>
      </c>
    </row>
    <row r="567" spans="34:34" x14ac:dyDescent="0.3">
      <c r="AH567" s="7">
        <v>650.70000000000005</v>
      </c>
    </row>
    <row r="568" spans="34:34" x14ac:dyDescent="0.3">
      <c r="AH568" s="7">
        <v>11.41</v>
      </c>
    </row>
    <row r="569" spans="34:34" x14ac:dyDescent="0.3">
      <c r="AH569" s="7">
        <v>680.39</v>
      </c>
    </row>
    <row r="570" spans="34:34" x14ac:dyDescent="0.3">
      <c r="AH570" s="7">
        <v>75.52</v>
      </c>
    </row>
    <row r="571" spans="34:34" x14ac:dyDescent="0.3">
      <c r="AH571" s="7">
        <v>2354.54</v>
      </c>
    </row>
    <row r="572" spans="34:34" x14ac:dyDescent="0.3">
      <c r="AH572" s="7">
        <v>79.06</v>
      </c>
    </row>
    <row r="573" spans="34:34" x14ac:dyDescent="0.3">
      <c r="AH573" s="7">
        <v>65.14</v>
      </c>
    </row>
    <row r="574" spans="34:34" x14ac:dyDescent="0.3">
      <c r="AH574" s="7">
        <v>640.71</v>
      </c>
    </row>
    <row r="575" spans="34:34" x14ac:dyDescent="0.3">
      <c r="AH575" s="7">
        <v>659.6</v>
      </c>
    </row>
    <row r="576" spans="34:34" x14ac:dyDescent="0.3">
      <c r="AH576" s="7">
        <v>1137.5999999999999</v>
      </c>
    </row>
    <row r="577" spans="34:34" x14ac:dyDescent="0.3">
      <c r="AH577" s="7">
        <v>151.55000000000001</v>
      </c>
    </row>
    <row r="578" spans="34:34" x14ac:dyDescent="0.3">
      <c r="AH578" s="7">
        <v>57.03</v>
      </c>
    </row>
    <row r="579" spans="34:34" x14ac:dyDescent="0.3">
      <c r="AH579" s="7">
        <v>347.23</v>
      </c>
    </row>
    <row r="580" spans="34:34" x14ac:dyDescent="0.3">
      <c r="AH580" s="7">
        <v>478.23</v>
      </c>
    </row>
    <row r="581" spans="34:34" x14ac:dyDescent="0.3">
      <c r="AH581" s="7">
        <v>93.82</v>
      </c>
    </row>
    <row r="582" spans="34:34" x14ac:dyDescent="0.3">
      <c r="AH582" s="7">
        <v>1670.33</v>
      </c>
    </row>
    <row r="583" spans="34:34" x14ac:dyDescent="0.3">
      <c r="AH583" s="7">
        <v>100.59</v>
      </c>
    </row>
    <row r="584" spans="34:34" x14ac:dyDescent="0.3">
      <c r="AH584" s="7">
        <v>598.38</v>
      </c>
    </row>
    <row r="585" spans="34:34" x14ac:dyDescent="0.3">
      <c r="AH585" s="7">
        <v>39.36</v>
      </c>
    </row>
    <row r="586" spans="34:34" x14ac:dyDescent="0.3">
      <c r="AH586" s="7">
        <v>322.77</v>
      </c>
    </row>
    <row r="587" spans="34:34" x14ac:dyDescent="0.3">
      <c r="AH587" s="7">
        <v>65.09</v>
      </c>
    </row>
    <row r="588" spans="34:34" x14ac:dyDescent="0.3">
      <c r="AH588" s="7">
        <v>98.96</v>
      </c>
    </row>
    <row r="589" spans="34:34" x14ac:dyDescent="0.3">
      <c r="AH589" s="7">
        <v>13546.94</v>
      </c>
    </row>
    <row r="590" spans="34:34" x14ac:dyDescent="0.3">
      <c r="AH590" s="7">
        <v>6401.65</v>
      </c>
    </row>
    <row r="591" spans="34:34" x14ac:dyDescent="0.3">
      <c r="AH591" s="7">
        <v>617.4</v>
      </c>
    </row>
    <row r="592" spans="34:34" x14ac:dyDescent="0.3">
      <c r="AH592" s="7">
        <v>157.78</v>
      </c>
    </row>
    <row r="593" spans="34:34" x14ac:dyDescent="0.3">
      <c r="AH593" s="7">
        <v>26.31</v>
      </c>
    </row>
    <row r="594" spans="34:34" x14ac:dyDescent="0.3">
      <c r="AH594" s="7">
        <v>209.78</v>
      </c>
    </row>
    <row r="595" spans="34:34" x14ac:dyDescent="0.3">
      <c r="AH595" s="7">
        <v>17.829999999999998</v>
      </c>
    </row>
    <row r="596" spans="34:34" x14ac:dyDescent="0.3">
      <c r="AH596" s="7">
        <v>2527.79</v>
      </c>
    </row>
    <row r="597" spans="34:34" x14ac:dyDescent="0.3">
      <c r="AH597" s="7">
        <v>121.87</v>
      </c>
    </row>
    <row r="598" spans="34:34" x14ac:dyDescent="0.3">
      <c r="AH598" s="7">
        <v>659.42</v>
      </c>
    </row>
    <row r="599" spans="34:34" x14ac:dyDescent="0.3">
      <c r="AH599" s="7">
        <v>403.53</v>
      </c>
    </row>
    <row r="600" spans="34:34" x14ac:dyDescent="0.3">
      <c r="AH600" s="7">
        <v>55.17</v>
      </c>
    </row>
    <row r="601" spans="34:34" x14ac:dyDescent="0.3">
      <c r="AH601" s="7">
        <v>377.44</v>
      </c>
    </row>
    <row r="602" spans="34:34" x14ac:dyDescent="0.3">
      <c r="AH602" s="7">
        <v>286.39999999999998</v>
      </c>
    </row>
    <row r="603" spans="34:34" x14ac:dyDescent="0.3">
      <c r="AH603" s="7">
        <v>664.34</v>
      </c>
    </row>
    <row r="604" spans="34:34" x14ac:dyDescent="0.3">
      <c r="AH604" s="7">
        <v>473.53</v>
      </c>
    </row>
    <row r="605" spans="34:34" x14ac:dyDescent="0.3">
      <c r="AH605" s="7">
        <v>220.92</v>
      </c>
    </row>
    <row r="606" spans="34:34" x14ac:dyDescent="0.3">
      <c r="AH606" s="7">
        <v>196.41</v>
      </c>
    </row>
    <row r="607" spans="34:34" x14ac:dyDescent="0.3">
      <c r="AH607" s="7">
        <v>54.08</v>
      </c>
    </row>
    <row r="608" spans="34:34" x14ac:dyDescent="0.3">
      <c r="AH608" s="7">
        <v>47.18</v>
      </c>
    </row>
    <row r="609" spans="34:34" x14ac:dyDescent="0.3">
      <c r="AH609" s="7">
        <v>30.87</v>
      </c>
    </row>
    <row r="610" spans="34:34" x14ac:dyDescent="0.3">
      <c r="AH610" s="7">
        <v>309.05</v>
      </c>
    </row>
    <row r="611" spans="34:34" x14ac:dyDescent="0.3">
      <c r="AH611" s="7">
        <v>299.3</v>
      </c>
    </row>
    <row r="612" spans="34:34" x14ac:dyDescent="0.3">
      <c r="AH612" s="7">
        <v>45.24</v>
      </c>
    </row>
    <row r="613" spans="34:34" x14ac:dyDescent="0.3">
      <c r="AH613" s="7">
        <v>51.02</v>
      </c>
    </row>
    <row r="614" spans="34:34" x14ac:dyDescent="0.3">
      <c r="AH614" s="7">
        <v>2291.39</v>
      </c>
    </row>
    <row r="615" spans="34:34" x14ac:dyDescent="0.3">
      <c r="AH615" s="7">
        <v>9492.92</v>
      </c>
    </row>
    <row r="616" spans="34:34" x14ac:dyDescent="0.3">
      <c r="AH616" s="7">
        <v>318.47000000000003</v>
      </c>
    </row>
    <row r="617" spans="34:34" x14ac:dyDescent="0.3">
      <c r="AH617" s="7">
        <v>586.96</v>
      </c>
    </row>
    <row r="618" spans="34:34" x14ac:dyDescent="0.3">
      <c r="AH618" s="7">
        <v>11272.77</v>
      </c>
    </row>
    <row r="619" spans="34:34" x14ac:dyDescent="0.3">
      <c r="AH619" s="7">
        <v>144.33000000000001</v>
      </c>
    </row>
    <row r="620" spans="34:34" x14ac:dyDescent="0.3">
      <c r="AH620" s="7">
        <v>270.55</v>
      </c>
    </row>
    <row r="621" spans="34:34" x14ac:dyDescent="0.3">
      <c r="AH621" s="7">
        <v>79.62</v>
      </c>
    </row>
    <row r="622" spans="34:34" x14ac:dyDescent="0.3">
      <c r="AH622" s="7">
        <v>479.79</v>
      </c>
    </row>
    <row r="623" spans="34:34" x14ac:dyDescent="0.3">
      <c r="AH623" s="7">
        <v>108.99</v>
      </c>
    </row>
    <row r="624" spans="34:34" x14ac:dyDescent="0.3">
      <c r="AH624" s="7">
        <v>3527.82</v>
      </c>
    </row>
    <row r="625" spans="34:34" x14ac:dyDescent="0.3">
      <c r="AH625" s="7">
        <v>4698.21</v>
      </c>
    </row>
    <row r="626" spans="34:34" x14ac:dyDescent="0.3">
      <c r="AH626" s="7">
        <v>43.08</v>
      </c>
    </row>
    <row r="627" spans="34:34" x14ac:dyDescent="0.3">
      <c r="AH627" s="7">
        <v>258.93</v>
      </c>
    </row>
    <row r="628" spans="34:34" x14ac:dyDescent="0.3">
      <c r="AH628" s="7">
        <v>277.60000000000002</v>
      </c>
    </row>
    <row r="629" spans="34:34" x14ac:dyDescent="0.3">
      <c r="AH629" s="7">
        <v>168.04</v>
      </c>
    </row>
    <row r="630" spans="34:34" x14ac:dyDescent="0.3">
      <c r="AH630" s="7">
        <v>703.46</v>
      </c>
    </row>
    <row r="631" spans="34:34" x14ac:dyDescent="0.3">
      <c r="AH631" s="7">
        <v>103.61</v>
      </c>
    </row>
    <row r="632" spans="34:34" x14ac:dyDescent="0.3">
      <c r="AH632" s="7">
        <v>3144.56</v>
      </c>
    </row>
    <row r="633" spans="34:34" x14ac:dyDescent="0.3">
      <c r="AH633" s="7">
        <v>2653.02</v>
      </c>
    </row>
    <row r="634" spans="34:34" x14ac:dyDescent="0.3">
      <c r="AH634" s="7">
        <v>66.81</v>
      </c>
    </row>
    <row r="635" spans="34:34" x14ac:dyDescent="0.3">
      <c r="AH635" s="7">
        <v>90.52</v>
      </c>
    </row>
    <row r="636" spans="34:34" x14ac:dyDescent="0.3">
      <c r="AH636" s="7">
        <v>55.97</v>
      </c>
    </row>
    <row r="637" spans="34:34" x14ac:dyDescent="0.3">
      <c r="AH637" s="7">
        <v>311.66000000000003</v>
      </c>
    </row>
    <row r="638" spans="34:34" x14ac:dyDescent="0.3">
      <c r="AH638" s="7">
        <v>9862.51</v>
      </c>
    </row>
    <row r="639" spans="34:34" x14ac:dyDescent="0.3">
      <c r="AH639" s="7">
        <v>177.41</v>
      </c>
    </row>
    <row r="640" spans="34:34" x14ac:dyDescent="0.3">
      <c r="AH640" s="7">
        <v>406.91</v>
      </c>
    </row>
    <row r="641" spans="34:34" x14ac:dyDescent="0.3">
      <c r="AH641" s="7">
        <v>1332.09</v>
      </c>
    </row>
    <row r="642" spans="34:34" x14ac:dyDescent="0.3">
      <c r="AH642" s="7">
        <v>105.5</v>
      </c>
    </row>
    <row r="643" spans="34:34" x14ac:dyDescent="0.3">
      <c r="AH643" s="7">
        <v>101.73</v>
      </c>
    </row>
    <row r="644" spans="34:34" x14ac:dyDescent="0.3">
      <c r="AH644" s="7">
        <v>37.700000000000003</v>
      </c>
    </row>
    <row r="645" spans="34:34" x14ac:dyDescent="0.3">
      <c r="AH645" s="7">
        <v>75.81</v>
      </c>
    </row>
    <row r="646" spans="34:34" x14ac:dyDescent="0.3">
      <c r="AH646" s="7">
        <v>2630</v>
      </c>
    </row>
    <row r="647" spans="34:34" x14ac:dyDescent="0.3">
      <c r="AH647" s="7">
        <v>333.02</v>
      </c>
    </row>
    <row r="648" spans="34:34" x14ac:dyDescent="0.3">
      <c r="AH648" s="7">
        <v>27.76</v>
      </c>
    </row>
    <row r="649" spans="34:34" x14ac:dyDescent="0.3">
      <c r="AH649" s="7">
        <v>3855.28</v>
      </c>
    </row>
    <row r="650" spans="34:34" x14ac:dyDescent="0.3">
      <c r="AH650" s="7">
        <v>192.49</v>
      </c>
    </row>
    <row r="651" spans="34:34" x14ac:dyDescent="0.3">
      <c r="AH651" s="7">
        <v>2560.5500000000002</v>
      </c>
    </row>
    <row r="652" spans="34:34" x14ac:dyDescent="0.3">
      <c r="AH652" s="7">
        <v>227.67</v>
      </c>
    </row>
    <row r="653" spans="34:34" x14ac:dyDescent="0.3">
      <c r="AH653" s="7">
        <v>8.83</v>
      </c>
    </row>
    <row r="654" spans="34:34" x14ac:dyDescent="0.3">
      <c r="AH654" s="7">
        <v>34.409999999999997</v>
      </c>
    </row>
    <row r="655" spans="34:34" x14ac:dyDescent="0.3">
      <c r="AH655" s="7">
        <v>157.27000000000001</v>
      </c>
    </row>
    <row r="656" spans="34:34" x14ac:dyDescent="0.3">
      <c r="AH656" s="7">
        <v>1013.84</v>
      </c>
    </row>
    <row r="657" spans="34:34" x14ac:dyDescent="0.3">
      <c r="AH657" s="7">
        <v>110.75</v>
      </c>
    </row>
    <row r="658" spans="34:34" x14ac:dyDescent="0.3">
      <c r="AH658" s="7">
        <v>181.46</v>
      </c>
    </row>
    <row r="659" spans="34:34" x14ac:dyDescent="0.3">
      <c r="AH659" s="7">
        <v>1076.3</v>
      </c>
    </row>
    <row r="660" spans="34:34" x14ac:dyDescent="0.3">
      <c r="AH660" s="7">
        <v>21.46</v>
      </c>
    </row>
    <row r="661" spans="34:34" x14ac:dyDescent="0.3">
      <c r="AH661" s="7">
        <v>3506.78</v>
      </c>
    </row>
    <row r="662" spans="34:34" x14ac:dyDescent="0.3">
      <c r="AH662" s="7">
        <v>267.69</v>
      </c>
    </row>
    <row r="663" spans="34:34" x14ac:dyDescent="0.3">
      <c r="AH663" s="7">
        <v>2307.2600000000002</v>
      </c>
    </row>
    <row r="664" spans="34:34" x14ac:dyDescent="0.3">
      <c r="AH664" s="7">
        <v>39.15</v>
      </c>
    </row>
    <row r="665" spans="34:34" x14ac:dyDescent="0.3">
      <c r="AH665" s="7">
        <v>266.95</v>
      </c>
    </row>
    <row r="666" spans="34:34" x14ac:dyDescent="0.3">
      <c r="AH666" s="7">
        <v>20552.55</v>
      </c>
    </row>
    <row r="667" spans="34:34" x14ac:dyDescent="0.3">
      <c r="AH667" s="7">
        <v>87.8</v>
      </c>
    </row>
    <row r="668" spans="34:34" x14ac:dyDescent="0.3">
      <c r="AH668" s="7">
        <v>3741.39</v>
      </c>
    </row>
    <row r="669" spans="34:34" x14ac:dyDescent="0.3">
      <c r="AH669" s="7">
        <v>149.32</v>
      </c>
    </row>
    <row r="670" spans="34:34" x14ac:dyDescent="0.3">
      <c r="AH670" s="7">
        <v>177.01</v>
      </c>
    </row>
    <row r="671" spans="34:34" x14ac:dyDescent="0.3">
      <c r="AH671" s="7">
        <v>35.159999999999997</v>
      </c>
    </row>
    <row r="672" spans="34:34" x14ac:dyDescent="0.3">
      <c r="AH672" s="7">
        <v>88.84</v>
      </c>
    </row>
    <row r="673" spans="34:34" x14ac:dyDescent="0.3">
      <c r="AH673" s="7">
        <v>696.96</v>
      </c>
    </row>
    <row r="674" spans="34:34" x14ac:dyDescent="0.3">
      <c r="AH674" s="7">
        <v>149.41</v>
      </c>
    </row>
    <row r="675" spans="34:34" x14ac:dyDescent="0.3">
      <c r="AH675" s="7">
        <v>4556.63</v>
      </c>
    </row>
    <row r="676" spans="34:34" x14ac:dyDescent="0.3">
      <c r="AH676" s="7">
        <v>2948.61</v>
      </c>
    </row>
    <row r="677" spans="34:34" x14ac:dyDescent="0.3">
      <c r="AH677" s="7">
        <v>517.85</v>
      </c>
    </row>
    <row r="678" spans="34:34" x14ac:dyDescent="0.3">
      <c r="AH678" s="7">
        <v>2373.3200000000002</v>
      </c>
    </row>
    <row r="679" spans="34:34" x14ac:dyDescent="0.3">
      <c r="AH679" s="7">
        <v>325.73</v>
      </c>
    </row>
    <row r="680" spans="34:34" x14ac:dyDescent="0.3">
      <c r="AH680" s="7">
        <v>127.94</v>
      </c>
    </row>
    <row r="681" spans="34:34" x14ac:dyDescent="0.3">
      <c r="AH681" s="7">
        <v>1350.94</v>
      </c>
    </row>
    <row r="682" spans="34:34" x14ac:dyDescent="0.3">
      <c r="AH682" s="7">
        <v>75.17</v>
      </c>
    </row>
    <row r="683" spans="34:34" x14ac:dyDescent="0.3">
      <c r="AH683" s="7">
        <v>1125.76</v>
      </c>
    </row>
    <row r="684" spans="34:34" x14ac:dyDescent="0.3">
      <c r="AH684" s="7">
        <v>746.03</v>
      </c>
    </row>
    <row r="685" spans="34:34" x14ac:dyDescent="0.3">
      <c r="AH685" s="7">
        <v>593.33000000000004</v>
      </c>
    </row>
    <row r="686" spans="34:34" x14ac:dyDescent="0.3">
      <c r="AH686" s="7">
        <v>13.05</v>
      </c>
    </row>
    <row r="687" spans="34:34" x14ac:dyDescent="0.3">
      <c r="AH687" s="7">
        <v>58.95</v>
      </c>
    </row>
    <row r="688" spans="34:34" x14ac:dyDescent="0.3">
      <c r="AH688" s="7">
        <v>3672.89</v>
      </c>
    </row>
    <row r="689" spans="34:34" x14ac:dyDescent="0.3">
      <c r="AH689" s="7">
        <v>374.81</v>
      </c>
    </row>
    <row r="690" spans="34:34" x14ac:dyDescent="0.3">
      <c r="AH690" s="7">
        <v>43.27</v>
      </c>
    </row>
    <row r="691" spans="34:34" x14ac:dyDescent="0.3">
      <c r="AH691" s="7">
        <v>11.74</v>
      </c>
    </row>
    <row r="692" spans="34:34" x14ac:dyDescent="0.3">
      <c r="AH692" s="7">
        <v>5258.94</v>
      </c>
    </row>
    <row r="693" spans="34:34" x14ac:dyDescent="0.3">
      <c r="AH693" s="7">
        <v>66.739999999999995</v>
      </c>
    </row>
    <row r="694" spans="34:34" x14ac:dyDescent="0.3">
      <c r="AH694" s="7">
        <v>1282.67</v>
      </c>
    </row>
    <row r="695" spans="34:34" x14ac:dyDescent="0.3">
      <c r="AH695" s="7">
        <v>208.83</v>
      </c>
    </row>
    <row r="696" spans="34:34" x14ac:dyDescent="0.3">
      <c r="AH696" s="7">
        <v>228.3</v>
      </c>
    </row>
    <row r="697" spans="34:34" x14ac:dyDescent="0.3">
      <c r="AH697" s="7">
        <v>129.53</v>
      </c>
    </row>
    <row r="698" spans="34:34" x14ac:dyDescent="0.3">
      <c r="AH698" s="7">
        <v>55.68</v>
      </c>
    </row>
    <row r="699" spans="34:34" x14ac:dyDescent="0.3">
      <c r="AH699" s="7">
        <v>568.24</v>
      </c>
    </row>
    <row r="700" spans="34:34" x14ac:dyDescent="0.3">
      <c r="AH700" s="7">
        <v>162.91</v>
      </c>
    </row>
    <row r="701" spans="34:34" x14ac:dyDescent="0.3">
      <c r="AH701" s="7">
        <v>97.65</v>
      </c>
    </row>
    <row r="702" spans="34:34" x14ac:dyDescent="0.3">
      <c r="AH702" s="7">
        <v>1018.61</v>
      </c>
    </row>
    <row r="703" spans="34:34" x14ac:dyDescent="0.3">
      <c r="AH703" s="7">
        <v>1145.5999999999999</v>
      </c>
    </row>
    <row r="704" spans="34:34" x14ac:dyDescent="0.3">
      <c r="AH704" s="7">
        <v>24.52</v>
      </c>
    </row>
    <row r="705" spans="34:34" x14ac:dyDescent="0.3">
      <c r="AH705" s="7">
        <v>5775.81</v>
      </c>
    </row>
    <row r="706" spans="34:34" x14ac:dyDescent="0.3">
      <c r="AH706" s="7">
        <v>1878.24</v>
      </c>
    </row>
    <row r="707" spans="34:34" x14ac:dyDescent="0.3">
      <c r="AH707" s="7">
        <v>1634.67</v>
      </c>
    </row>
    <row r="708" spans="34:34" x14ac:dyDescent="0.3">
      <c r="AH708" s="7">
        <v>9280.7199999999993</v>
      </c>
    </row>
    <row r="709" spans="34:34" x14ac:dyDescent="0.3">
      <c r="AH709" s="7">
        <v>1348.83</v>
      </c>
    </row>
    <row r="710" spans="34:34" x14ac:dyDescent="0.3">
      <c r="AH710" s="7">
        <v>564.98</v>
      </c>
    </row>
    <row r="711" spans="34:34" x14ac:dyDescent="0.3">
      <c r="AH711" s="7">
        <v>129.47999999999999</v>
      </c>
    </row>
    <row r="712" spans="34:34" x14ac:dyDescent="0.3">
      <c r="AH712" s="7">
        <v>8216.2800000000007</v>
      </c>
    </row>
    <row r="713" spans="34:34" x14ac:dyDescent="0.3">
      <c r="AH713" s="7">
        <v>152.11000000000001</v>
      </c>
    </row>
    <row r="714" spans="34:34" x14ac:dyDescent="0.3">
      <c r="AH714" s="7">
        <v>35.97</v>
      </c>
    </row>
    <row r="715" spans="34:34" x14ac:dyDescent="0.3">
      <c r="AH715" s="7">
        <v>85.64</v>
      </c>
    </row>
    <row r="716" spans="34:34" x14ac:dyDescent="0.3">
      <c r="AH716" s="7">
        <v>2508.15</v>
      </c>
    </row>
    <row r="717" spans="34:34" x14ac:dyDescent="0.3">
      <c r="AH717" s="7">
        <v>225.62</v>
      </c>
    </row>
    <row r="718" spans="34:34" x14ac:dyDescent="0.3">
      <c r="AH718" s="7">
        <v>610.65</v>
      </c>
    </row>
    <row r="719" spans="34:34" x14ac:dyDescent="0.3">
      <c r="AH719" s="7">
        <v>699.24</v>
      </c>
    </row>
    <row r="720" spans="34:34" x14ac:dyDescent="0.3">
      <c r="AH720" s="7">
        <v>2346.0300000000002</v>
      </c>
    </row>
    <row r="721" spans="34:34" x14ac:dyDescent="0.3">
      <c r="AH721" s="7">
        <v>33.770000000000003</v>
      </c>
    </row>
    <row r="722" spans="34:34" x14ac:dyDescent="0.3">
      <c r="AH722" s="7">
        <v>172.79</v>
      </c>
    </row>
    <row r="723" spans="34:34" x14ac:dyDescent="0.3">
      <c r="AH723" s="7">
        <v>19.66</v>
      </c>
    </row>
    <row r="724" spans="34:34" x14ac:dyDescent="0.3">
      <c r="AH724" s="7">
        <v>604.35</v>
      </c>
    </row>
    <row r="725" spans="34:34" x14ac:dyDescent="0.3">
      <c r="AH725" s="7">
        <v>3.13</v>
      </c>
    </row>
    <row r="726" spans="34:34" x14ac:dyDescent="0.3">
      <c r="AH726" s="7">
        <v>38.65</v>
      </c>
    </row>
    <row r="727" spans="34:34" x14ac:dyDescent="0.3">
      <c r="AH727" s="7">
        <v>378.23</v>
      </c>
    </row>
    <row r="728" spans="34:34" x14ac:dyDescent="0.3">
      <c r="AH728" s="7">
        <v>7.15</v>
      </c>
    </row>
    <row r="729" spans="34:34" x14ac:dyDescent="0.3">
      <c r="AH729" s="7">
        <v>29.85</v>
      </c>
    </row>
    <row r="730" spans="34:34" x14ac:dyDescent="0.3">
      <c r="AH730" s="7">
        <v>366.44</v>
      </c>
    </row>
    <row r="731" spans="34:34" x14ac:dyDescent="0.3">
      <c r="AH731" s="7">
        <v>69.75</v>
      </c>
    </row>
    <row r="732" spans="34:34" x14ac:dyDescent="0.3">
      <c r="AH732" s="7">
        <v>852.53</v>
      </c>
    </row>
    <row r="733" spans="34:34" x14ac:dyDescent="0.3">
      <c r="AH733" s="7">
        <v>219.66</v>
      </c>
    </row>
    <row r="734" spans="34:34" x14ac:dyDescent="0.3">
      <c r="AH734" s="7">
        <v>81.900000000000006</v>
      </c>
    </row>
    <row r="735" spans="34:34" x14ac:dyDescent="0.3">
      <c r="AH735" s="7">
        <v>2343.34</v>
      </c>
    </row>
    <row r="736" spans="34:34" x14ac:dyDescent="0.3">
      <c r="AH736" s="7">
        <v>327.61</v>
      </c>
    </row>
    <row r="737" spans="34:34" x14ac:dyDescent="0.3">
      <c r="AH737" s="7">
        <v>1774.5</v>
      </c>
    </row>
    <row r="738" spans="34:34" x14ac:dyDescent="0.3">
      <c r="AH738" s="7">
        <v>1054.69</v>
      </c>
    </row>
    <row r="739" spans="34:34" x14ac:dyDescent="0.3">
      <c r="AH739" s="7">
        <v>6654.39</v>
      </c>
    </row>
    <row r="740" spans="34:34" x14ac:dyDescent="0.3">
      <c r="AH740" s="7">
        <v>4429.6899999999996</v>
      </c>
    </row>
    <row r="741" spans="34:34" x14ac:dyDescent="0.3">
      <c r="AH741" s="7">
        <v>878.34</v>
      </c>
    </row>
    <row r="742" spans="34:34" x14ac:dyDescent="0.3">
      <c r="AH742" s="7">
        <v>676.57</v>
      </c>
    </row>
    <row r="743" spans="34:34" x14ac:dyDescent="0.3">
      <c r="AH743" s="7">
        <v>459.55</v>
      </c>
    </row>
    <row r="744" spans="34:34" x14ac:dyDescent="0.3">
      <c r="AH744" s="7">
        <v>536.9</v>
      </c>
    </row>
    <row r="745" spans="34:34" x14ac:dyDescent="0.3">
      <c r="AH745" s="7">
        <v>8.74</v>
      </c>
    </row>
    <row r="746" spans="34:34" x14ac:dyDescent="0.3">
      <c r="AH746" s="7">
        <v>182.33</v>
      </c>
    </row>
    <row r="747" spans="34:34" x14ac:dyDescent="0.3">
      <c r="AH747" s="7">
        <v>131.26</v>
      </c>
    </row>
    <row r="748" spans="34:34" x14ac:dyDescent="0.3">
      <c r="AH748" s="7">
        <v>240.6</v>
      </c>
    </row>
    <row r="749" spans="34:34" x14ac:dyDescent="0.3">
      <c r="AH749" s="7">
        <v>236.88</v>
      </c>
    </row>
    <row r="750" spans="34:34" x14ac:dyDescent="0.3">
      <c r="AH750" s="7">
        <v>2710.47</v>
      </c>
    </row>
    <row r="751" spans="34:34" x14ac:dyDescent="0.3">
      <c r="AH751" s="7">
        <v>8354.73</v>
      </c>
    </row>
    <row r="752" spans="34:34" x14ac:dyDescent="0.3">
      <c r="AH752" s="7">
        <v>48.3</v>
      </c>
    </row>
    <row r="753" spans="34:34" x14ac:dyDescent="0.3">
      <c r="AH753" s="7">
        <v>58.81</v>
      </c>
    </row>
    <row r="754" spans="34:34" x14ac:dyDescent="0.3">
      <c r="AH754" s="7">
        <v>47.38</v>
      </c>
    </row>
    <row r="755" spans="34:34" x14ac:dyDescent="0.3">
      <c r="AH755" s="7">
        <v>637.76</v>
      </c>
    </row>
    <row r="756" spans="34:34" x14ac:dyDescent="0.3">
      <c r="AH756" s="7">
        <v>2156.06</v>
      </c>
    </row>
    <row r="757" spans="34:34" x14ac:dyDescent="0.3">
      <c r="AH757" s="7">
        <v>761.16</v>
      </c>
    </row>
    <row r="758" spans="34:34" x14ac:dyDescent="0.3">
      <c r="AH758" s="7">
        <v>682.68</v>
      </c>
    </row>
    <row r="759" spans="34:34" x14ac:dyDescent="0.3">
      <c r="AH759" s="7">
        <v>73.44</v>
      </c>
    </row>
    <row r="760" spans="34:34" x14ac:dyDescent="0.3">
      <c r="AH760" s="7">
        <v>2997.07</v>
      </c>
    </row>
    <row r="761" spans="34:34" x14ac:dyDescent="0.3">
      <c r="AH761" s="7">
        <v>282.85000000000002</v>
      </c>
    </row>
    <row r="762" spans="34:34" x14ac:dyDescent="0.3">
      <c r="AH762" s="7">
        <v>20.03</v>
      </c>
    </row>
    <row r="763" spans="34:34" x14ac:dyDescent="0.3">
      <c r="AH763" s="7">
        <v>84.56</v>
      </c>
    </row>
    <row r="764" spans="34:34" x14ac:dyDescent="0.3">
      <c r="AH764" s="7">
        <v>70.709999999999994</v>
      </c>
    </row>
    <row r="765" spans="34:34" x14ac:dyDescent="0.3">
      <c r="AH765" s="7">
        <v>51.86</v>
      </c>
    </row>
    <row r="766" spans="34:34" x14ac:dyDescent="0.3">
      <c r="AH766" s="7">
        <v>56.24</v>
      </c>
    </row>
    <row r="767" spans="34:34" x14ac:dyDescent="0.3">
      <c r="AH767" s="7">
        <v>627.78</v>
      </c>
    </row>
    <row r="768" spans="34:34" x14ac:dyDescent="0.3">
      <c r="AH768" s="7">
        <v>283.44</v>
      </c>
    </row>
    <row r="769" spans="34:34" x14ac:dyDescent="0.3">
      <c r="AH769" s="7">
        <v>8.3000000000000007</v>
      </c>
    </row>
    <row r="770" spans="34:34" x14ac:dyDescent="0.3">
      <c r="AH770" s="7">
        <v>10.039999999999999</v>
      </c>
    </row>
    <row r="771" spans="34:34" x14ac:dyDescent="0.3">
      <c r="AH771" s="7">
        <v>981.65</v>
      </c>
    </row>
    <row r="772" spans="34:34" x14ac:dyDescent="0.3">
      <c r="AH772" s="7">
        <v>1748.69</v>
      </c>
    </row>
    <row r="773" spans="34:34" x14ac:dyDescent="0.3">
      <c r="AH773" s="7">
        <v>119.29</v>
      </c>
    </row>
    <row r="774" spans="34:34" x14ac:dyDescent="0.3">
      <c r="AH774" s="7">
        <v>3.08</v>
      </c>
    </row>
    <row r="775" spans="34:34" x14ac:dyDescent="0.3">
      <c r="AH775" s="7">
        <v>69.459999999999994</v>
      </c>
    </row>
    <row r="776" spans="34:34" x14ac:dyDescent="0.3">
      <c r="AH776" s="7">
        <v>1145.72</v>
      </c>
    </row>
    <row r="777" spans="34:34" x14ac:dyDescent="0.3">
      <c r="AH777" s="7">
        <v>26.37</v>
      </c>
    </row>
    <row r="778" spans="34:34" x14ac:dyDescent="0.3">
      <c r="AH778" s="7">
        <v>53.44</v>
      </c>
    </row>
    <row r="779" spans="34:34" x14ac:dyDescent="0.3">
      <c r="AH779" s="7">
        <v>57.34</v>
      </c>
    </row>
    <row r="780" spans="34:34" x14ac:dyDescent="0.3">
      <c r="AH780" s="7">
        <v>79.02</v>
      </c>
    </row>
    <row r="781" spans="34:34" x14ac:dyDescent="0.3">
      <c r="AH781" s="7">
        <v>25.45</v>
      </c>
    </row>
    <row r="782" spans="34:34" x14ac:dyDescent="0.3">
      <c r="AH782" s="7">
        <v>110.72</v>
      </c>
    </row>
    <row r="783" spans="34:34" x14ac:dyDescent="0.3">
      <c r="AH783" s="7">
        <v>46.94</v>
      </c>
    </row>
    <row r="784" spans="34:34" x14ac:dyDescent="0.3">
      <c r="AH784" s="7">
        <v>26.18</v>
      </c>
    </row>
    <row r="785" spans="34:34" x14ac:dyDescent="0.3">
      <c r="AH785" s="7">
        <v>28.66</v>
      </c>
    </row>
    <row r="786" spans="34:34" x14ac:dyDescent="0.3">
      <c r="AH786" s="7">
        <v>123.18</v>
      </c>
    </row>
    <row r="787" spans="34:34" x14ac:dyDescent="0.3">
      <c r="AH787" s="7">
        <v>1533.59</v>
      </c>
    </row>
    <row r="788" spans="34:34" x14ac:dyDescent="0.3">
      <c r="AH788" s="7">
        <v>2.77</v>
      </c>
    </row>
    <row r="789" spans="34:34" x14ac:dyDescent="0.3">
      <c r="AH789" s="7">
        <v>31.55</v>
      </c>
    </row>
    <row r="790" spans="34:34" x14ac:dyDescent="0.3">
      <c r="AH790" s="7">
        <v>42.58</v>
      </c>
    </row>
    <row r="791" spans="34:34" x14ac:dyDescent="0.3">
      <c r="AH791" s="7">
        <v>145.36000000000001</v>
      </c>
    </row>
    <row r="792" spans="34:34" x14ac:dyDescent="0.3">
      <c r="AH792" s="7">
        <v>3616.52</v>
      </c>
    </row>
    <row r="793" spans="34:34" x14ac:dyDescent="0.3">
      <c r="AH793" s="7">
        <v>7.96</v>
      </c>
    </row>
    <row r="794" spans="34:34" x14ac:dyDescent="0.3">
      <c r="AH794" s="7">
        <v>389.59</v>
      </c>
    </row>
    <row r="795" spans="34:34" x14ac:dyDescent="0.3">
      <c r="AH795" s="7">
        <v>447.89</v>
      </c>
    </row>
    <row r="796" spans="34:34" x14ac:dyDescent="0.3">
      <c r="AH796" s="7">
        <v>1420.84</v>
      </c>
    </row>
    <row r="797" spans="34:34" x14ac:dyDescent="0.3">
      <c r="AH797" s="7">
        <v>111.97</v>
      </c>
    </row>
    <row r="798" spans="34:34" x14ac:dyDescent="0.3">
      <c r="AH798" s="7">
        <v>355.21</v>
      </c>
    </row>
    <row r="799" spans="34:34" x14ac:dyDescent="0.3">
      <c r="AH799" s="7">
        <v>536.23</v>
      </c>
    </row>
    <row r="800" spans="34:34" x14ac:dyDescent="0.3">
      <c r="AH800" s="7">
        <v>38.81</v>
      </c>
    </row>
    <row r="801" spans="34:34" x14ac:dyDescent="0.3">
      <c r="AH801" s="7">
        <v>2144.92</v>
      </c>
    </row>
    <row r="802" spans="34:34" x14ac:dyDescent="0.3">
      <c r="AH802" s="7">
        <v>484.56</v>
      </c>
    </row>
    <row r="803" spans="34:34" x14ac:dyDescent="0.3">
      <c r="AH803" s="7">
        <v>471.21</v>
      </c>
    </row>
    <row r="804" spans="34:34" x14ac:dyDescent="0.3">
      <c r="AH804" s="7">
        <v>182.61</v>
      </c>
    </row>
    <row r="805" spans="34:34" x14ac:dyDescent="0.3">
      <c r="AH805" s="7">
        <v>36.58</v>
      </c>
    </row>
    <row r="806" spans="34:34" x14ac:dyDescent="0.3">
      <c r="AH806" s="7">
        <v>2376.12</v>
      </c>
    </row>
    <row r="807" spans="34:34" x14ac:dyDescent="0.3">
      <c r="AH807" s="7">
        <v>1020.08</v>
      </c>
    </row>
    <row r="808" spans="34:34" x14ac:dyDescent="0.3">
      <c r="AH808" s="7">
        <v>65.2</v>
      </c>
    </row>
    <row r="809" spans="34:34" x14ac:dyDescent="0.3">
      <c r="AH809" s="7">
        <v>22.59</v>
      </c>
    </row>
    <row r="810" spans="34:34" x14ac:dyDescent="0.3">
      <c r="AH810" s="7">
        <v>121.36</v>
      </c>
    </row>
    <row r="811" spans="34:34" x14ac:dyDescent="0.3">
      <c r="AH811" s="7">
        <v>2013.67</v>
      </c>
    </row>
    <row r="812" spans="34:34" x14ac:dyDescent="0.3">
      <c r="AH812" s="7">
        <v>1824.33</v>
      </c>
    </row>
    <row r="813" spans="34:34" x14ac:dyDescent="0.3">
      <c r="AH813" s="7">
        <v>107.65</v>
      </c>
    </row>
    <row r="814" spans="34:34" x14ac:dyDescent="0.3">
      <c r="AH814" s="7">
        <v>165.21</v>
      </c>
    </row>
    <row r="815" spans="34:34" x14ac:dyDescent="0.3">
      <c r="AH815" s="7">
        <v>25.15</v>
      </c>
    </row>
    <row r="816" spans="34:34" x14ac:dyDescent="0.3">
      <c r="AH816" s="7">
        <v>4285.5600000000004</v>
      </c>
    </row>
    <row r="817" spans="34:34" x14ac:dyDescent="0.3">
      <c r="AH817" s="7">
        <v>631.37</v>
      </c>
    </row>
    <row r="818" spans="34:34" x14ac:dyDescent="0.3">
      <c r="AH818" s="7">
        <v>267.83</v>
      </c>
    </row>
    <row r="819" spans="34:34" x14ac:dyDescent="0.3">
      <c r="AH819" s="7">
        <v>21.46</v>
      </c>
    </row>
    <row r="820" spans="34:34" x14ac:dyDescent="0.3">
      <c r="AH820" s="7">
        <v>2767.95</v>
      </c>
    </row>
    <row r="821" spans="34:34" x14ac:dyDescent="0.3">
      <c r="AH821" s="7">
        <v>123.03</v>
      </c>
    </row>
    <row r="822" spans="34:34" x14ac:dyDescent="0.3">
      <c r="AH822" s="7">
        <v>431.84</v>
      </c>
    </row>
    <row r="823" spans="34:34" x14ac:dyDescent="0.3">
      <c r="AH823" s="7">
        <v>2366.5100000000002</v>
      </c>
    </row>
    <row r="824" spans="34:34" x14ac:dyDescent="0.3">
      <c r="AH824" s="7">
        <v>291.64</v>
      </c>
    </row>
    <row r="825" spans="34:34" x14ac:dyDescent="0.3">
      <c r="AH825" s="7">
        <v>252.36</v>
      </c>
    </row>
    <row r="826" spans="34:34" x14ac:dyDescent="0.3">
      <c r="AH826" s="7">
        <v>575.07000000000005</v>
      </c>
    </row>
    <row r="827" spans="34:34" x14ac:dyDescent="0.3">
      <c r="AH827" s="7">
        <v>1781.66</v>
      </c>
    </row>
    <row r="828" spans="34:34" x14ac:dyDescent="0.3">
      <c r="AH828" s="7">
        <v>940.64</v>
      </c>
    </row>
    <row r="829" spans="34:34" x14ac:dyDescent="0.3">
      <c r="AH829" s="7">
        <v>439.27</v>
      </c>
    </row>
    <row r="830" spans="34:34" x14ac:dyDescent="0.3">
      <c r="AH830" s="7">
        <v>4410.1899999999996</v>
      </c>
    </row>
    <row r="831" spans="34:34" x14ac:dyDescent="0.3">
      <c r="AH831" s="7">
        <v>552.89</v>
      </c>
    </row>
    <row r="832" spans="34:34" x14ac:dyDescent="0.3">
      <c r="AH832" s="7">
        <v>621.55999999999995</v>
      </c>
    </row>
    <row r="833" spans="34:34" x14ac:dyDescent="0.3">
      <c r="AH833" s="7">
        <v>88.83</v>
      </c>
    </row>
    <row r="834" spans="34:34" x14ac:dyDescent="0.3">
      <c r="AH834" s="7">
        <v>307.64999999999998</v>
      </c>
    </row>
    <row r="835" spans="34:34" x14ac:dyDescent="0.3">
      <c r="AH835" s="7">
        <v>76.91</v>
      </c>
    </row>
    <row r="836" spans="34:34" x14ac:dyDescent="0.3">
      <c r="AH836" s="7">
        <v>151.34</v>
      </c>
    </row>
    <row r="837" spans="34:34" x14ac:dyDescent="0.3">
      <c r="AH837" s="7">
        <v>290.24</v>
      </c>
    </row>
    <row r="838" spans="34:34" x14ac:dyDescent="0.3">
      <c r="AH838" s="7">
        <v>971.4</v>
      </c>
    </row>
    <row r="839" spans="34:34" x14ac:dyDescent="0.3">
      <c r="AH839" s="7">
        <v>193.51</v>
      </c>
    </row>
    <row r="840" spans="34:34" x14ac:dyDescent="0.3">
      <c r="AH840" s="7">
        <v>157.81</v>
      </c>
    </row>
    <row r="841" spans="34:34" x14ac:dyDescent="0.3">
      <c r="AH841" s="7">
        <v>19.440000000000001</v>
      </c>
    </row>
    <row r="842" spans="34:34" x14ac:dyDescent="0.3">
      <c r="AH842" s="7">
        <v>4636.63</v>
      </c>
    </row>
    <row r="843" spans="34:34" x14ac:dyDescent="0.3">
      <c r="AH843" s="7">
        <v>739.07</v>
      </c>
    </row>
    <row r="844" spans="34:34" x14ac:dyDescent="0.3">
      <c r="AH844" s="7">
        <v>157.63999999999999</v>
      </c>
    </row>
    <row r="845" spans="34:34" x14ac:dyDescent="0.3">
      <c r="AH845" s="7">
        <v>42.16</v>
      </c>
    </row>
    <row r="846" spans="34:34" x14ac:dyDescent="0.3">
      <c r="AH846" s="7">
        <v>14.08</v>
      </c>
    </row>
    <row r="847" spans="34:34" x14ac:dyDescent="0.3">
      <c r="AH847" s="7">
        <v>256.73</v>
      </c>
    </row>
    <row r="848" spans="34:34" x14ac:dyDescent="0.3">
      <c r="AH848" s="7">
        <v>18.59</v>
      </c>
    </row>
    <row r="849" spans="34:34" x14ac:dyDescent="0.3">
      <c r="AH849" s="7">
        <v>58.83</v>
      </c>
    </row>
    <row r="850" spans="34:34" x14ac:dyDescent="0.3">
      <c r="AH850" s="7">
        <v>1557.66</v>
      </c>
    </row>
    <row r="851" spans="34:34" x14ac:dyDescent="0.3">
      <c r="AH851" s="7">
        <v>129.43</v>
      </c>
    </row>
    <row r="852" spans="34:34" x14ac:dyDescent="0.3">
      <c r="AH852" s="7">
        <v>61.39</v>
      </c>
    </row>
    <row r="853" spans="34:34" x14ac:dyDescent="0.3">
      <c r="AH853" s="7">
        <v>2435.52</v>
      </c>
    </row>
    <row r="854" spans="34:34" x14ac:dyDescent="0.3">
      <c r="AH854" s="7">
        <v>464.86</v>
      </c>
    </row>
    <row r="855" spans="34:34" x14ac:dyDescent="0.3">
      <c r="AH855" s="7">
        <v>288.67</v>
      </c>
    </row>
    <row r="856" spans="34:34" x14ac:dyDescent="0.3">
      <c r="AH856" s="7">
        <v>1030.51</v>
      </c>
    </row>
    <row r="857" spans="34:34" x14ac:dyDescent="0.3">
      <c r="AH857" s="7">
        <v>2026.91</v>
      </c>
    </row>
    <row r="858" spans="34:34" x14ac:dyDescent="0.3">
      <c r="AH858" s="7">
        <v>115.53</v>
      </c>
    </row>
    <row r="859" spans="34:34" x14ac:dyDescent="0.3">
      <c r="AH859" s="7">
        <v>162.38999999999999</v>
      </c>
    </row>
    <row r="860" spans="34:34" x14ac:dyDescent="0.3">
      <c r="AH860" s="7">
        <v>1316.03</v>
      </c>
    </row>
    <row r="861" spans="34:34" x14ac:dyDescent="0.3">
      <c r="AH861" s="7">
        <v>1395.41</v>
      </c>
    </row>
    <row r="862" spans="34:34" x14ac:dyDescent="0.3">
      <c r="AH862" s="7">
        <v>4920.8100000000004</v>
      </c>
    </row>
    <row r="863" spans="34:34" x14ac:dyDescent="0.3">
      <c r="AH863" s="7">
        <v>28.22</v>
      </c>
    </row>
    <row r="864" spans="34:34" x14ac:dyDescent="0.3">
      <c r="AH864" s="7">
        <v>74.010000000000005</v>
      </c>
    </row>
    <row r="865" spans="34:34" x14ac:dyDescent="0.3">
      <c r="AH865" s="7">
        <v>48.1</v>
      </c>
    </row>
    <row r="866" spans="34:34" x14ac:dyDescent="0.3">
      <c r="AH866" s="7">
        <v>11015.82</v>
      </c>
    </row>
    <row r="867" spans="34:34" x14ac:dyDescent="0.3">
      <c r="AH867" s="7">
        <v>300.67</v>
      </c>
    </row>
    <row r="868" spans="34:34" x14ac:dyDescent="0.3">
      <c r="AH868" s="7">
        <v>723.54</v>
      </c>
    </row>
    <row r="869" spans="34:34" x14ac:dyDescent="0.3">
      <c r="AH869" s="7">
        <v>87.53</v>
      </c>
    </row>
    <row r="870" spans="34:34" x14ac:dyDescent="0.3">
      <c r="AH870" s="7">
        <v>172.22</v>
      </c>
    </row>
    <row r="871" spans="34:34" x14ac:dyDescent="0.3">
      <c r="AH871" s="7">
        <v>894.88</v>
      </c>
    </row>
    <row r="872" spans="34:34" x14ac:dyDescent="0.3">
      <c r="AH872" s="7">
        <v>16.670000000000002</v>
      </c>
    </row>
    <row r="873" spans="34:34" x14ac:dyDescent="0.3">
      <c r="AH873" s="7">
        <v>195.16</v>
      </c>
    </row>
    <row r="874" spans="34:34" x14ac:dyDescent="0.3">
      <c r="AH874" s="7">
        <v>879.62</v>
      </c>
    </row>
    <row r="875" spans="34:34" x14ac:dyDescent="0.3">
      <c r="AH875" s="7">
        <v>361.19</v>
      </c>
    </row>
    <row r="876" spans="34:34" x14ac:dyDescent="0.3">
      <c r="AH876" s="7">
        <v>1088.26</v>
      </c>
    </row>
    <row r="877" spans="34:34" x14ac:dyDescent="0.3">
      <c r="AH877" s="7">
        <v>105.75</v>
      </c>
    </row>
    <row r="878" spans="34:34" x14ac:dyDescent="0.3">
      <c r="AH878" s="7">
        <v>63.93</v>
      </c>
    </row>
    <row r="879" spans="34:34" x14ac:dyDescent="0.3">
      <c r="AH879" s="7">
        <v>391.4</v>
      </c>
    </row>
    <row r="880" spans="34:34" x14ac:dyDescent="0.3">
      <c r="AH880" s="7">
        <v>14.53</v>
      </c>
    </row>
    <row r="881" spans="34:34" x14ac:dyDescent="0.3">
      <c r="AH881" s="7">
        <v>144.03</v>
      </c>
    </row>
    <row r="882" spans="34:34" x14ac:dyDescent="0.3">
      <c r="AH882" s="7">
        <v>48.81</v>
      </c>
    </row>
    <row r="883" spans="34:34" x14ac:dyDescent="0.3">
      <c r="AH883" s="7">
        <v>7360.2</v>
      </c>
    </row>
    <row r="884" spans="34:34" x14ac:dyDescent="0.3">
      <c r="AH884" s="7">
        <v>89.06</v>
      </c>
    </row>
    <row r="885" spans="34:34" x14ac:dyDescent="0.3">
      <c r="AH885" s="7">
        <v>134.97</v>
      </c>
    </row>
    <row r="886" spans="34:34" x14ac:dyDescent="0.3">
      <c r="AH886" s="7">
        <v>17.420000000000002</v>
      </c>
    </row>
    <row r="887" spans="34:34" x14ac:dyDescent="0.3">
      <c r="AH887" s="7">
        <v>19.12</v>
      </c>
    </row>
    <row r="888" spans="34:34" x14ac:dyDescent="0.3">
      <c r="AH888" s="7">
        <v>186.64</v>
      </c>
    </row>
    <row r="889" spans="34:34" x14ac:dyDescent="0.3">
      <c r="AH889" s="7">
        <v>3.53</v>
      </c>
    </row>
    <row r="890" spans="34:34" x14ac:dyDescent="0.3">
      <c r="AH890" s="7">
        <v>706.56</v>
      </c>
    </row>
    <row r="891" spans="34:34" x14ac:dyDescent="0.3">
      <c r="AH891" s="7">
        <v>13121.07</v>
      </c>
    </row>
    <row r="892" spans="34:34" x14ac:dyDescent="0.3">
      <c r="AH892" s="7">
        <v>110.93</v>
      </c>
    </row>
    <row r="893" spans="34:34" x14ac:dyDescent="0.3">
      <c r="AH893" s="7">
        <v>118.35</v>
      </c>
    </row>
    <row r="894" spans="34:34" x14ac:dyDescent="0.3">
      <c r="AH894" s="7">
        <v>17.309999999999999</v>
      </c>
    </row>
    <row r="895" spans="34:34" x14ac:dyDescent="0.3">
      <c r="AH895" s="7">
        <v>23.56</v>
      </c>
    </row>
    <row r="896" spans="34:34" x14ac:dyDescent="0.3">
      <c r="AH896" s="7">
        <v>494.49</v>
      </c>
    </row>
    <row r="897" spans="34:34" x14ac:dyDescent="0.3">
      <c r="AH897" s="7">
        <v>158.13</v>
      </c>
    </row>
    <row r="898" spans="34:34" x14ac:dyDescent="0.3">
      <c r="AH898" s="7">
        <v>163.01</v>
      </c>
    </row>
    <row r="899" spans="34:34" x14ac:dyDescent="0.3">
      <c r="AH899" s="7">
        <v>333.04</v>
      </c>
    </row>
    <row r="900" spans="34:34" x14ac:dyDescent="0.3">
      <c r="AH900" s="7">
        <v>472.44</v>
      </c>
    </row>
    <row r="901" spans="34:34" x14ac:dyDescent="0.3">
      <c r="AH901" s="7">
        <v>18.73</v>
      </c>
    </row>
    <row r="902" spans="34:34" x14ac:dyDescent="0.3">
      <c r="AH902" s="7">
        <v>2427.1799999999998</v>
      </c>
    </row>
    <row r="903" spans="34:34" x14ac:dyDescent="0.3">
      <c r="AH903" s="7">
        <v>434.85</v>
      </c>
    </row>
    <row r="904" spans="34:34" x14ac:dyDescent="0.3">
      <c r="AH904" s="7">
        <v>19.16</v>
      </c>
    </row>
    <row r="905" spans="34:34" x14ac:dyDescent="0.3">
      <c r="AH905" s="7">
        <v>1959.88</v>
      </c>
    </row>
    <row r="906" spans="34:34" x14ac:dyDescent="0.3">
      <c r="AH906" s="7">
        <v>710.16</v>
      </c>
    </row>
    <row r="907" spans="34:34" x14ac:dyDescent="0.3">
      <c r="AH907" s="7">
        <v>48.25</v>
      </c>
    </row>
    <row r="908" spans="34:34" x14ac:dyDescent="0.3">
      <c r="AH908" s="7">
        <v>243.24</v>
      </c>
    </row>
    <row r="909" spans="34:34" x14ac:dyDescent="0.3">
      <c r="AH909" s="7">
        <v>38.54</v>
      </c>
    </row>
    <row r="910" spans="34:34" x14ac:dyDescent="0.3">
      <c r="AH910" s="7">
        <v>1483.16</v>
      </c>
    </row>
    <row r="911" spans="34:34" x14ac:dyDescent="0.3">
      <c r="AH911" s="7">
        <v>562.92999999999995</v>
      </c>
    </row>
    <row r="912" spans="34:34" x14ac:dyDescent="0.3">
      <c r="AH912" s="7">
        <v>29.18</v>
      </c>
    </row>
    <row r="913" spans="34:34" x14ac:dyDescent="0.3">
      <c r="AH913" s="7">
        <v>1634.13</v>
      </c>
    </row>
    <row r="914" spans="34:34" x14ac:dyDescent="0.3">
      <c r="AH914" s="7">
        <v>214.14</v>
      </c>
    </row>
    <row r="915" spans="34:34" x14ac:dyDescent="0.3">
      <c r="AH915" s="7">
        <v>100.79</v>
      </c>
    </row>
    <row r="916" spans="34:34" x14ac:dyDescent="0.3">
      <c r="AH916" s="7">
        <v>35.97</v>
      </c>
    </row>
    <row r="917" spans="34:34" x14ac:dyDescent="0.3">
      <c r="AH917" s="7">
        <v>735.7</v>
      </c>
    </row>
    <row r="918" spans="34:34" x14ac:dyDescent="0.3">
      <c r="AH918" s="7">
        <v>225.59</v>
      </c>
    </row>
    <row r="919" spans="34:34" x14ac:dyDescent="0.3">
      <c r="AH919" s="7">
        <v>145.12</v>
      </c>
    </row>
    <row r="920" spans="34:34" x14ac:dyDescent="0.3">
      <c r="AH920" s="7">
        <v>94.27</v>
      </c>
    </row>
    <row r="921" spans="34:34" x14ac:dyDescent="0.3">
      <c r="AH921" s="7">
        <v>82.21</v>
      </c>
    </row>
    <row r="922" spans="34:34" x14ac:dyDescent="0.3">
      <c r="AH922" s="7">
        <v>417.47</v>
      </c>
    </row>
    <row r="923" spans="34:34" x14ac:dyDescent="0.3">
      <c r="AH923" s="7">
        <v>1104.32</v>
      </c>
    </row>
    <row r="924" spans="34:34" x14ac:dyDescent="0.3">
      <c r="AH924" s="7">
        <v>149.80000000000001</v>
      </c>
    </row>
    <row r="925" spans="34:34" x14ac:dyDescent="0.3">
      <c r="AH925" s="7">
        <v>6.97</v>
      </c>
    </row>
    <row r="926" spans="34:34" x14ac:dyDescent="0.3">
      <c r="AH926" s="7">
        <v>367.52</v>
      </c>
    </row>
    <row r="927" spans="34:34" x14ac:dyDescent="0.3">
      <c r="AH927" s="7">
        <v>1576.35</v>
      </c>
    </row>
    <row r="928" spans="34:34" x14ac:dyDescent="0.3">
      <c r="AH928" s="7">
        <v>52.16</v>
      </c>
    </row>
    <row r="929" spans="34:34" x14ac:dyDescent="0.3">
      <c r="AH929" s="7">
        <v>4881.84</v>
      </c>
    </row>
    <row r="930" spans="34:34" x14ac:dyDescent="0.3">
      <c r="AH930" s="7">
        <v>926.3</v>
      </c>
    </row>
    <row r="931" spans="34:34" x14ac:dyDescent="0.3">
      <c r="AH931" s="7">
        <v>942.53</v>
      </c>
    </row>
    <row r="932" spans="34:34" x14ac:dyDescent="0.3">
      <c r="AH932" s="7">
        <v>276.64</v>
      </c>
    </row>
    <row r="933" spans="34:34" x14ac:dyDescent="0.3">
      <c r="AH933" s="7">
        <v>514.62</v>
      </c>
    </row>
    <row r="934" spans="34:34" x14ac:dyDescent="0.3">
      <c r="AH934" s="7">
        <v>817.32</v>
      </c>
    </row>
    <row r="935" spans="34:34" x14ac:dyDescent="0.3">
      <c r="AH935" s="7">
        <v>284.48</v>
      </c>
    </row>
    <row r="936" spans="34:34" x14ac:dyDescent="0.3">
      <c r="AH936" s="7">
        <v>225.98</v>
      </c>
    </row>
    <row r="937" spans="34:34" x14ac:dyDescent="0.3">
      <c r="AH937" s="7">
        <v>72.77</v>
      </c>
    </row>
    <row r="938" spans="34:34" x14ac:dyDescent="0.3">
      <c r="AH938" s="7">
        <v>57.7</v>
      </c>
    </row>
    <row r="939" spans="34:34" x14ac:dyDescent="0.3">
      <c r="AH939" s="7">
        <v>19.670000000000002</v>
      </c>
    </row>
    <row r="940" spans="34:34" x14ac:dyDescent="0.3">
      <c r="AH940" s="7">
        <v>514.79</v>
      </c>
    </row>
    <row r="941" spans="34:34" x14ac:dyDescent="0.3">
      <c r="AH941" s="7">
        <v>893.53</v>
      </c>
    </row>
    <row r="942" spans="34:34" x14ac:dyDescent="0.3">
      <c r="AH942" s="7">
        <v>2053.6</v>
      </c>
    </row>
    <row r="943" spans="34:34" x14ac:dyDescent="0.3">
      <c r="AH943" s="7">
        <v>37.89</v>
      </c>
    </row>
    <row r="944" spans="34:34" x14ac:dyDescent="0.3">
      <c r="AH944" s="7">
        <v>343.79</v>
      </c>
    </row>
    <row r="945" spans="34:34" x14ac:dyDescent="0.3">
      <c r="AH945" s="7">
        <v>188.09</v>
      </c>
    </row>
    <row r="946" spans="34:34" x14ac:dyDescent="0.3">
      <c r="AH946" s="7">
        <v>129.54</v>
      </c>
    </row>
    <row r="947" spans="34:34" x14ac:dyDescent="0.3">
      <c r="AH947" s="7">
        <v>49.44</v>
      </c>
    </row>
    <row r="948" spans="34:34" x14ac:dyDescent="0.3">
      <c r="AH948" s="7">
        <v>14.29</v>
      </c>
    </row>
    <row r="949" spans="34:34" x14ac:dyDescent="0.3">
      <c r="AH949" s="7">
        <v>45.28</v>
      </c>
    </row>
    <row r="950" spans="34:34" x14ac:dyDescent="0.3">
      <c r="AH950" s="7">
        <v>13.57</v>
      </c>
    </row>
    <row r="951" spans="34:34" x14ac:dyDescent="0.3">
      <c r="AH951" s="7">
        <v>55.48</v>
      </c>
    </row>
    <row r="952" spans="34:34" x14ac:dyDescent="0.3">
      <c r="AH952" s="7">
        <v>5319.35</v>
      </c>
    </row>
    <row r="953" spans="34:34" x14ac:dyDescent="0.3">
      <c r="AH953" s="7">
        <v>30.44</v>
      </c>
    </row>
    <row r="954" spans="34:34" x14ac:dyDescent="0.3">
      <c r="AH954" s="7">
        <v>3251.76</v>
      </c>
    </row>
    <row r="955" spans="34:34" x14ac:dyDescent="0.3">
      <c r="AH955" s="7">
        <v>22.48</v>
      </c>
    </row>
    <row r="956" spans="34:34" x14ac:dyDescent="0.3">
      <c r="AH956" s="7">
        <v>267.32</v>
      </c>
    </row>
    <row r="957" spans="34:34" x14ac:dyDescent="0.3">
      <c r="AH957" s="7">
        <v>284.39</v>
      </c>
    </row>
    <row r="958" spans="34:34" x14ac:dyDescent="0.3">
      <c r="AH958" s="7">
        <v>974.14</v>
      </c>
    </row>
    <row r="959" spans="34:34" x14ac:dyDescent="0.3">
      <c r="AH959" s="7">
        <v>128.13</v>
      </c>
    </row>
    <row r="960" spans="34:34" x14ac:dyDescent="0.3">
      <c r="AH960" s="7">
        <v>464.94</v>
      </c>
    </row>
    <row r="961" spans="34:34" x14ac:dyDescent="0.3">
      <c r="AH961" s="7">
        <v>2188.06</v>
      </c>
    </row>
    <row r="962" spans="34:34" x14ac:dyDescent="0.3">
      <c r="AH962" s="7">
        <v>320.93</v>
      </c>
    </row>
    <row r="963" spans="34:34" x14ac:dyDescent="0.3">
      <c r="AH963" s="7">
        <v>261.85000000000002</v>
      </c>
    </row>
    <row r="964" spans="34:34" x14ac:dyDescent="0.3">
      <c r="AH964" s="7">
        <v>1834.61</v>
      </c>
    </row>
    <row r="965" spans="34:34" x14ac:dyDescent="0.3">
      <c r="AH965" s="7">
        <v>261.56</v>
      </c>
    </row>
    <row r="966" spans="34:34" x14ac:dyDescent="0.3">
      <c r="AH966" s="7">
        <v>114.81</v>
      </c>
    </row>
    <row r="967" spans="34:34" x14ac:dyDescent="0.3">
      <c r="AH967" s="7">
        <v>546.21</v>
      </c>
    </row>
    <row r="968" spans="34:34" x14ac:dyDescent="0.3">
      <c r="AH968" s="7">
        <v>272.86</v>
      </c>
    </row>
    <row r="969" spans="34:34" x14ac:dyDescent="0.3">
      <c r="AH969" s="7">
        <v>2119.54</v>
      </c>
    </row>
    <row r="970" spans="34:34" x14ac:dyDescent="0.3">
      <c r="AH970" s="7">
        <v>45737.33</v>
      </c>
    </row>
    <row r="971" spans="34:34" x14ac:dyDescent="0.3">
      <c r="AH971" s="7">
        <v>438.25</v>
      </c>
    </row>
    <row r="972" spans="34:34" x14ac:dyDescent="0.3">
      <c r="AH972" s="7">
        <v>561.05999999999995</v>
      </c>
    </row>
    <row r="973" spans="34:34" x14ac:dyDescent="0.3">
      <c r="AH973" s="7">
        <v>11434.33</v>
      </c>
    </row>
    <row r="974" spans="34:34" x14ac:dyDescent="0.3">
      <c r="AH974" s="7">
        <v>3229.24</v>
      </c>
    </row>
    <row r="975" spans="34:34" x14ac:dyDescent="0.3">
      <c r="AH975" s="7">
        <v>101.13</v>
      </c>
    </row>
    <row r="976" spans="34:34" x14ac:dyDescent="0.3">
      <c r="AH976" s="7">
        <v>451.83</v>
      </c>
    </row>
    <row r="977" spans="34:34" x14ac:dyDescent="0.3">
      <c r="AH977" s="7">
        <v>20.239999999999998</v>
      </c>
    </row>
    <row r="978" spans="34:34" x14ac:dyDescent="0.3">
      <c r="AH978" s="7">
        <v>1486.34</v>
      </c>
    </row>
    <row r="979" spans="34:34" x14ac:dyDescent="0.3">
      <c r="AH979" s="7">
        <v>406.26</v>
      </c>
    </row>
    <row r="980" spans="34:34" x14ac:dyDescent="0.3">
      <c r="AH980" s="7">
        <v>5835.41</v>
      </c>
    </row>
    <row r="981" spans="34:34" x14ac:dyDescent="0.3">
      <c r="AH981" s="7">
        <v>52.1</v>
      </c>
    </row>
    <row r="982" spans="34:34" x14ac:dyDescent="0.3">
      <c r="AH982" s="7">
        <v>45.87</v>
      </c>
    </row>
    <row r="983" spans="34:34" x14ac:dyDescent="0.3">
      <c r="AH983" s="7">
        <v>256.77</v>
      </c>
    </row>
    <row r="984" spans="34:34" x14ac:dyDescent="0.3">
      <c r="AH984" s="7">
        <v>605.82000000000005</v>
      </c>
    </row>
    <row r="985" spans="34:34" x14ac:dyDescent="0.3">
      <c r="AH985" s="7">
        <v>1569</v>
      </c>
    </row>
    <row r="986" spans="34:34" x14ac:dyDescent="0.3">
      <c r="AH986" s="7">
        <v>151.46</v>
      </c>
    </row>
    <row r="987" spans="34:34" x14ac:dyDescent="0.3">
      <c r="AH987" s="7">
        <v>10.19</v>
      </c>
    </row>
    <row r="988" spans="34:34" x14ac:dyDescent="0.3">
      <c r="AH988" s="7">
        <v>64.19</v>
      </c>
    </row>
    <row r="989" spans="34:34" x14ac:dyDescent="0.3">
      <c r="AH989" s="7">
        <v>118.57</v>
      </c>
    </row>
    <row r="990" spans="34:34" x14ac:dyDescent="0.3">
      <c r="AH990" s="7">
        <v>79.47</v>
      </c>
    </row>
    <row r="991" spans="34:34" x14ac:dyDescent="0.3">
      <c r="AH991" s="7">
        <v>627.28</v>
      </c>
    </row>
    <row r="992" spans="34:34" x14ac:dyDescent="0.3">
      <c r="AH992" s="7">
        <v>1160.42</v>
      </c>
    </row>
    <row r="993" spans="34:34" x14ac:dyDescent="0.3">
      <c r="AH993" s="7">
        <v>103.37</v>
      </c>
    </row>
    <row r="994" spans="34:34" x14ac:dyDescent="0.3">
      <c r="AH994" s="7">
        <v>40.22</v>
      </c>
    </row>
    <row r="995" spans="34:34" x14ac:dyDescent="0.3">
      <c r="AH995" s="7">
        <v>52.43</v>
      </c>
    </row>
    <row r="996" spans="34:34" x14ac:dyDescent="0.3">
      <c r="AH996" s="7">
        <v>818.49</v>
      </c>
    </row>
    <row r="997" spans="34:34" x14ac:dyDescent="0.3">
      <c r="AH997" s="7">
        <v>410.17</v>
      </c>
    </row>
    <row r="998" spans="34:34" x14ac:dyDescent="0.3">
      <c r="AH998" s="7">
        <v>269.54000000000002</v>
      </c>
    </row>
    <row r="999" spans="34:34" x14ac:dyDescent="0.3">
      <c r="AH999" s="7">
        <v>106.57</v>
      </c>
    </row>
    <row r="1000" spans="34:34" x14ac:dyDescent="0.3">
      <c r="AH1000" s="7">
        <v>38.409999999999997</v>
      </c>
    </row>
    <row r="1001" spans="34:34" x14ac:dyDescent="0.3">
      <c r="AH1001" s="7">
        <v>131.34</v>
      </c>
    </row>
    <row r="1002" spans="34:34" x14ac:dyDescent="0.3">
      <c r="AH1002" s="7">
        <v>251.61</v>
      </c>
    </row>
    <row r="1003" spans="34:34" x14ac:dyDescent="0.3">
      <c r="AH1003" s="7">
        <v>287.99</v>
      </c>
    </row>
    <row r="1004" spans="34:34" x14ac:dyDescent="0.3">
      <c r="AH1004" s="7">
        <v>46.86</v>
      </c>
    </row>
    <row r="1005" spans="34:34" x14ac:dyDescent="0.3">
      <c r="AH1005" s="7">
        <v>658.62</v>
      </c>
    </row>
    <row r="1006" spans="34:34" x14ac:dyDescent="0.3">
      <c r="AH1006" s="7">
        <v>21.96</v>
      </c>
    </row>
    <row r="1007" spans="34:34" x14ac:dyDescent="0.3">
      <c r="AH1007" s="7">
        <v>24.57</v>
      </c>
    </row>
    <row r="1008" spans="34:34" x14ac:dyDescent="0.3">
      <c r="AH1008" s="7">
        <v>1008.53</v>
      </c>
    </row>
    <row r="1009" spans="34:34" x14ac:dyDescent="0.3">
      <c r="AH1009" s="7">
        <v>6968.9</v>
      </c>
    </row>
    <row r="1010" spans="34:34" x14ac:dyDescent="0.3">
      <c r="AH1010" s="7">
        <v>41.29</v>
      </c>
    </row>
    <row r="1011" spans="34:34" x14ac:dyDescent="0.3">
      <c r="AH1011" s="7">
        <v>88.64</v>
      </c>
    </row>
    <row r="1012" spans="34:34" x14ac:dyDescent="0.3">
      <c r="AH1012" s="7">
        <v>1300.54</v>
      </c>
    </row>
    <row r="1013" spans="34:34" x14ac:dyDescent="0.3">
      <c r="AH1013" s="7">
        <v>38.06</v>
      </c>
    </row>
    <row r="1014" spans="34:34" x14ac:dyDescent="0.3">
      <c r="AH1014" s="7">
        <v>1263.3499999999999</v>
      </c>
    </row>
    <row r="1015" spans="34:34" x14ac:dyDescent="0.3">
      <c r="AH1015" s="7">
        <v>202.38</v>
      </c>
    </row>
    <row r="1016" spans="34:34" x14ac:dyDescent="0.3">
      <c r="AH1016" s="7">
        <v>56.38</v>
      </c>
    </row>
    <row r="1017" spans="34:34" x14ac:dyDescent="0.3">
      <c r="AH1017" s="7">
        <v>119.13</v>
      </c>
    </row>
    <row r="1018" spans="34:34" x14ac:dyDescent="0.3">
      <c r="AH1018" s="7">
        <v>809.51</v>
      </c>
    </row>
    <row r="1019" spans="34:34" x14ac:dyDescent="0.3">
      <c r="AH1019" s="7">
        <v>643.64</v>
      </c>
    </row>
    <row r="1020" spans="34:34" x14ac:dyDescent="0.3">
      <c r="AH1020" s="7">
        <v>244.31</v>
      </c>
    </row>
    <row r="1021" spans="34:34" x14ac:dyDescent="0.3">
      <c r="AH1021" s="7">
        <v>466.58</v>
      </c>
    </row>
    <row r="1022" spans="34:34" x14ac:dyDescent="0.3">
      <c r="AH1022" s="7">
        <v>2290.69</v>
      </c>
    </row>
    <row r="1023" spans="34:34" x14ac:dyDescent="0.3">
      <c r="AH1023" s="7">
        <v>337.59</v>
      </c>
    </row>
    <row r="1024" spans="34:34" x14ac:dyDescent="0.3">
      <c r="AH1024" s="7">
        <v>10.65</v>
      </c>
    </row>
    <row r="1025" spans="34:34" x14ac:dyDescent="0.3">
      <c r="AH1025" s="7">
        <v>55.13</v>
      </c>
    </row>
    <row r="1026" spans="34:34" x14ac:dyDescent="0.3">
      <c r="AH1026" s="7">
        <v>215.32</v>
      </c>
    </row>
    <row r="1027" spans="34:34" x14ac:dyDescent="0.3">
      <c r="AH1027" s="7">
        <v>382.85</v>
      </c>
    </row>
    <row r="1028" spans="34:34" x14ac:dyDescent="0.3">
      <c r="AH1028" s="7">
        <v>44.8</v>
      </c>
    </row>
    <row r="1029" spans="34:34" x14ac:dyDescent="0.3">
      <c r="AH1029" s="7">
        <v>100.99</v>
      </c>
    </row>
    <row r="1030" spans="34:34" x14ac:dyDescent="0.3">
      <c r="AH1030" s="7">
        <v>142.06</v>
      </c>
    </row>
    <row r="1031" spans="34:34" x14ac:dyDescent="0.3">
      <c r="AH1031" s="7">
        <v>58.52</v>
      </c>
    </row>
    <row r="1032" spans="34:34" x14ac:dyDescent="0.3">
      <c r="AH1032" s="7">
        <v>363.74</v>
      </c>
    </row>
    <row r="1033" spans="34:34" x14ac:dyDescent="0.3">
      <c r="AH1033" s="7">
        <v>15.93</v>
      </c>
    </row>
    <row r="1034" spans="34:34" x14ac:dyDescent="0.3">
      <c r="AH1034" s="7">
        <v>21.28</v>
      </c>
    </row>
    <row r="1035" spans="34:34" x14ac:dyDescent="0.3">
      <c r="AH1035" s="7">
        <v>675.83</v>
      </c>
    </row>
    <row r="1036" spans="34:34" x14ac:dyDescent="0.3">
      <c r="AH1036" s="7">
        <v>28</v>
      </c>
    </row>
    <row r="1037" spans="34:34" x14ac:dyDescent="0.3">
      <c r="AH1037" s="7">
        <v>535.08000000000004</v>
      </c>
    </row>
    <row r="1038" spans="34:34" x14ac:dyDescent="0.3">
      <c r="AH1038" s="7">
        <v>222.71</v>
      </c>
    </row>
    <row r="1039" spans="34:34" x14ac:dyDescent="0.3">
      <c r="AH1039" s="7">
        <v>220.52</v>
      </c>
    </row>
    <row r="1040" spans="34:34" x14ac:dyDescent="0.3">
      <c r="AH1040" s="7">
        <v>68.34</v>
      </c>
    </row>
    <row r="1041" spans="34:34" x14ac:dyDescent="0.3">
      <c r="AH1041" s="7">
        <v>522.22</v>
      </c>
    </row>
    <row r="1042" spans="34:34" x14ac:dyDescent="0.3">
      <c r="AH1042" s="7">
        <v>28.01</v>
      </c>
    </row>
    <row r="1043" spans="34:34" x14ac:dyDescent="0.3">
      <c r="AH1043" s="7">
        <v>80.349999999999994</v>
      </c>
    </row>
    <row r="1044" spans="34:34" x14ac:dyDescent="0.3">
      <c r="AH1044" s="7">
        <v>99.69</v>
      </c>
    </row>
    <row r="1045" spans="34:34" x14ac:dyDescent="0.3">
      <c r="AH1045" s="7">
        <v>152.49</v>
      </c>
    </row>
    <row r="1046" spans="34:34" x14ac:dyDescent="0.3">
      <c r="AH1046" s="7">
        <v>320.75</v>
      </c>
    </row>
    <row r="1047" spans="34:34" x14ac:dyDescent="0.3">
      <c r="AH1047" s="7">
        <v>11.35</v>
      </c>
    </row>
    <row r="1048" spans="34:34" x14ac:dyDescent="0.3">
      <c r="AH1048" s="7">
        <v>7029.1</v>
      </c>
    </row>
    <row r="1049" spans="34:34" x14ac:dyDescent="0.3">
      <c r="AH1049" s="7">
        <v>1059.3800000000001</v>
      </c>
    </row>
    <row r="1050" spans="34:34" x14ac:dyDescent="0.3">
      <c r="AH1050" s="7">
        <v>2233.46</v>
      </c>
    </row>
    <row r="1051" spans="34:34" x14ac:dyDescent="0.3">
      <c r="AH1051" s="7">
        <v>928.92</v>
      </c>
    </row>
    <row r="1052" spans="34:34" x14ac:dyDescent="0.3">
      <c r="AH1052" s="7">
        <v>3845.35</v>
      </c>
    </row>
    <row r="1053" spans="34:34" x14ac:dyDescent="0.3">
      <c r="AH1053" s="7">
        <v>3.77</v>
      </c>
    </row>
    <row r="1054" spans="34:34" x14ac:dyDescent="0.3">
      <c r="AH1054" s="7">
        <v>343.54</v>
      </c>
    </row>
    <row r="1055" spans="34:34" x14ac:dyDescent="0.3">
      <c r="AH1055" s="7">
        <v>3627.08</v>
      </c>
    </row>
    <row r="1056" spans="34:34" x14ac:dyDescent="0.3">
      <c r="AH1056" s="7">
        <v>8.34</v>
      </c>
    </row>
    <row r="1057" spans="34:34" x14ac:dyDescent="0.3">
      <c r="AH1057" s="7">
        <v>63.32</v>
      </c>
    </row>
    <row r="1058" spans="34:34" x14ac:dyDescent="0.3">
      <c r="AH1058" s="7">
        <v>83.72</v>
      </c>
    </row>
    <row r="1059" spans="34:34" x14ac:dyDescent="0.3">
      <c r="AH1059" s="7">
        <v>1011.44</v>
      </c>
    </row>
    <row r="1060" spans="34:34" x14ac:dyDescent="0.3">
      <c r="AH1060" s="7">
        <v>132.22999999999999</v>
      </c>
    </row>
    <row r="1061" spans="34:34" x14ac:dyDescent="0.3">
      <c r="AH1061" s="7">
        <v>210.33</v>
      </c>
    </row>
    <row r="1062" spans="34:34" x14ac:dyDescent="0.3">
      <c r="AH1062" s="7">
        <v>168.04</v>
      </c>
    </row>
    <row r="1063" spans="34:34" x14ac:dyDescent="0.3">
      <c r="AH1063" s="7">
        <v>882.93</v>
      </c>
    </row>
    <row r="1064" spans="34:34" x14ac:dyDescent="0.3">
      <c r="AH1064" s="7">
        <v>1757.15</v>
      </c>
    </row>
    <row r="1065" spans="34:34" x14ac:dyDescent="0.3">
      <c r="AH1065" s="7">
        <v>1786.04</v>
      </c>
    </row>
    <row r="1066" spans="34:34" x14ac:dyDescent="0.3">
      <c r="AH1066" s="7">
        <v>34.76</v>
      </c>
    </row>
    <row r="1067" spans="34:34" x14ac:dyDescent="0.3">
      <c r="AH1067" s="7">
        <v>561.65</v>
      </c>
    </row>
    <row r="1068" spans="34:34" x14ac:dyDescent="0.3">
      <c r="AH1068" s="7">
        <v>413.73</v>
      </c>
    </row>
    <row r="1069" spans="34:34" x14ac:dyDescent="0.3">
      <c r="AH1069" s="7">
        <v>55.6</v>
      </c>
    </row>
    <row r="1070" spans="34:34" x14ac:dyDescent="0.3">
      <c r="AH1070" s="7">
        <v>2099.61</v>
      </c>
    </row>
    <row r="1071" spans="34:34" x14ac:dyDescent="0.3">
      <c r="AH1071" s="7">
        <v>96.6</v>
      </c>
    </row>
    <row r="1072" spans="34:34" x14ac:dyDescent="0.3">
      <c r="AH1072" s="7">
        <v>558.16999999999996</v>
      </c>
    </row>
    <row r="1073" spans="34:34" x14ac:dyDescent="0.3">
      <c r="AH1073" s="7">
        <v>8.39</v>
      </c>
    </row>
    <row r="1074" spans="34:34" x14ac:dyDescent="0.3">
      <c r="AH1074" s="7">
        <v>559.42999999999995</v>
      </c>
    </row>
    <row r="1075" spans="34:34" x14ac:dyDescent="0.3">
      <c r="AH1075" s="7">
        <v>1216.52</v>
      </c>
    </row>
    <row r="1076" spans="34:34" x14ac:dyDescent="0.3">
      <c r="AH1076" s="7">
        <v>1058.3599999999999</v>
      </c>
    </row>
    <row r="1077" spans="34:34" x14ac:dyDescent="0.3">
      <c r="AH1077" s="7">
        <v>18.309999999999999</v>
      </c>
    </row>
    <row r="1078" spans="34:34" x14ac:dyDescent="0.3">
      <c r="AH1078" s="7">
        <v>4935.22</v>
      </c>
    </row>
    <row r="1079" spans="34:34" x14ac:dyDescent="0.3">
      <c r="AH1079" s="7">
        <v>51.03</v>
      </c>
    </row>
    <row r="1080" spans="34:34" x14ac:dyDescent="0.3">
      <c r="AH1080" s="7">
        <v>746.91</v>
      </c>
    </row>
    <row r="1081" spans="34:34" x14ac:dyDescent="0.3">
      <c r="AH1081" s="7">
        <v>77.47</v>
      </c>
    </row>
    <row r="1082" spans="34:34" x14ac:dyDescent="0.3">
      <c r="AH1082" s="7">
        <v>204.34</v>
      </c>
    </row>
    <row r="1083" spans="34:34" x14ac:dyDescent="0.3">
      <c r="AH1083" s="7">
        <v>206.04</v>
      </c>
    </row>
    <row r="1084" spans="34:34" x14ac:dyDescent="0.3">
      <c r="AH1084" s="7">
        <v>475.42</v>
      </c>
    </row>
    <row r="1085" spans="34:34" x14ac:dyDescent="0.3">
      <c r="AH1085" s="7">
        <v>3598.82</v>
      </c>
    </row>
    <row r="1086" spans="34:34" x14ac:dyDescent="0.3">
      <c r="AH1086" s="7">
        <v>41.22</v>
      </c>
    </row>
    <row r="1087" spans="34:34" x14ac:dyDescent="0.3">
      <c r="AH1087" s="7">
        <v>875.39</v>
      </c>
    </row>
    <row r="1088" spans="34:34" x14ac:dyDescent="0.3">
      <c r="AH1088" s="7">
        <v>8.24</v>
      </c>
    </row>
    <row r="1089" spans="34:34" x14ac:dyDescent="0.3">
      <c r="AH1089" s="7">
        <v>641.11</v>
      </c>
    </row>
    <row r="1090" spans="34:34" x14ac:dyDescent="0.3">
      <c r="AH1090" s="7">
        <v>35.479999999999997</v>
      </c>
    </row>
    <row r="1091" spans="34:34" x14ac:dyDescent="0.3">
      <c r="AH1091" s="7">
        <v>2130.04</v>
      </c>
    </row>
    <row r="1092" spans="34:34" x14ac:dyDescent="0.3">
      <c r="AH1092" s="7">
        <v>82.8</v>
      </c>
    </row>
    <row r="1093" spans="34:34" x14ac:dyDescent="0.3">
      <c r="AH1093" s="7">
        <v>99.02</v>
      </c>
    </row>
    <row r="1094" spans="34:34" x14ac:dyDescent="0.3">
      <c r="AH1094" s="7">
        <v>46.4</v>
      </c>
    </row>
    <row r="1095" spans="34:34" x14ac:dyDescent="0.3">
      <c r="AH1095" s="7">
        <v>551.51</v>
      </c>
    </row>
    <row r="1096" spans="34:34" x14ac:dyDescent="0.3">
      <c r="AH1096" s="7">
        <v>142.79</v>
      </c>
    </row>
    <row r="1097" spans="34:34" x14ac:dyDescent="0.3">
      <c r="AH1097" s="7">
        <v>585.08000000000004</v>
      </c>
    </row>
    <row r="1098" spans="34:34" x14ac:dyDescent="0.3">
      <c r="AH1098" s="7">
        <v>72.75</v>
      </c>
    </row>
    <row r="1099" spans="34:34" x14ac:dyDescent="0.3">
      <c r="AH1099" s="7">
        <v>269.33</v>
      </c>
    </row>
    <row r="1100" spans="34:34" x14ac:dyDescent="0.3">
      <c r="AH1100" s="7">
        <v>377</v>
      </c>
    </row>
    <row r="1101" spans="34:34" x14ac:dyDescent="0.3">
      <c r="AH1101" s="7">
        <v>42.99</v>
      </c>
    </row>
    <row r="1102" spans="34:34" x14ac:dyDescent="0.3">
      <c r="AH1102" s="7">
        <v>65.69</v>
      </c>
    </row>
    <row r="1103" spans="34:34" x14ac:dyDescent="0.3">
      <c r="AH1103" s="7">
        <v>2748.21</v>
      </c>
    </row>
    <row r="1104" spans="34:34" x14ac:dyDescent="0.3">
      <c r="AH1104" s="7">
        <v>93.19</v>
      </c>
    </row>
    <row r="1105" spans="34:34" x14ac:dyDescent="0.3">
      <c r="AH1105" s="7">
        <v>363.37</v>
      </c>
    </row>
    <row r="1106" spans="34:34" x14ac:dyDescent="0.3">
      <c r="AH1106" s="7">
        <v>480.75</v>
      </c>
    </row>
    <row r="1107" spans="34:34" x14ac:dyDescent="0.3">
      <c r="AH1107" s="7">
        <v>16.88</v>
      </c>
    </row>
    <row r="1108" spans="34:34" x14ac:dyDescent="0.3">
      <c r="AH1108" s="7">
        <v>925.19</v>
      </c>
    </row>
    <row r="1109" spans="34:34" x14ac:dyDescent="0.3">
      <c r="AH1109" s="7">
        <v>408.66</v>
      </c>
    </row>
    <row r="1110" spans="34:34" x14ac:dyDescent="0.3">
      <c r="AH1110" s="7">
        <v>122.93</v>
      </c>
    </row>
    <row r="1111" spans="34:34" x14ac:dyDescent="0.3">
      <c r="AH1111" s="7">
        <v>32.659999999999997</v>
      </c>
    </row>
    <row r="1112" spans="34:34" x14ac:dyDescent="0.3">
      <c r="AH1112" s="7">
        <v>14.85</v>
      </c>
    </row>
    <row r="1113" spans="34:34" x14ac:dyDescent="0.3">
      <c r="AH1113" s="7">
        <v>45</v>
      </c>
    </row>
    <row r="1114" spans="34:34" x14ac:dyDescent="0.3">
      <c r="AH1114" s="7">
        <v>6569.07</v>
      </c>
    </row>
    <row r="1115" spans="34:34" x14ac:dyDescent="0.3">
      <c r="AH1115" s="7">
        <v>88.22</v>
      </c>
    </row>
    <row r="1116" spans="34:34" x14ac:dyDescent="0.3">
      <c r="AH1116" s="7">
        <v>40.29</v>
      </c>
    </row>
    <row r="1117" spans="34:34" x14ac:dyDescent="0.3">
      <c r="AH1117" s="7">
        <v>151.27000000000001</v>
      </c>
    </row>
    <row r="1118" spans="34:34" x14ac:dyDescent="0.3">
      <c r="AH1118" s="7">
        <v>10.51</v>
      </c>
    </row>
    <row r="1119" spans="34:34" x14ac:dyDescent="0.3">
      <c r="AH1119" s="7">
        <v>74.930000000000007</v>
      </c>
    </row>
    <row r="1120" spans="34:34" x14ac:dyDescent="0.3">
      <c r="AH1120" s="7">
        <v>1370.99</v>
      </c>
    </row>
    <row r="1121" spans="34:34" x14ac:dyDescent="0.3">
      <c r="AH1121" s="7">
        <v>1913.84</v>
      </c>
    </row>
    <row r="1122" spans="34:34" x14ac:dyDescent="0.3">
      <c r="AH1122" s="7">
        <v>2692.12</v>
      </c>
    </row>
    <row r="1123" spans="34:34" x14ac:dyDescent="0.3">
      <c r="AH1123" s="7">
        <v>762.38</v>
      </c>
    </row>
    <row r="1124" spans="34:34" x14ac:dyDescent="0.3">
      <c r="AH1124" s="7">
        <v>36.72</v>
      </c>
    </row>
    <row r="1125" spans="34:34" x14ac:dyDescent="0.3">
      <c r="AH1125" s="7">
        <v>305.70999999999998</v>
      </c>
    </row>
    <row r="1126" spans="34:34" x14ac:dyDescent="0.3">
      <c r="AH1126" s="7">
        <v>277.12</v>
      </c>
    </row>
    <row r="1127" spans="34:34" x14ac:dyDescent="0.3">
      <c r="AH1127" s="7">
        <v>100.11</v>
      </c>
    </row>
    <row r="1128" spans="34:34" x14ac:dyDescent="0.3">
      <c r="AH1128" s="7">
        <v>31.54</v>
      </c>
    </row>
    <row r="1129" spans="34:34" x14ac:dyDescent="0.3">
      <c r="AH1129" s="7">
        <v>4634.6899999999996</v>
      </c>
    </row>
    <row r="1130" spans="34:34" x14ac:dyDescent="0.3">
      <c r="AH1130" s="7">
        <v>7304.03</v>
      </c>
    </row>
    <row r="1131" spans="34:34" x14ac:dyDescent="0.3">
      <c r="AH1131" s="7">
        <v>632.65</v>
      </c>
    </row>
    <row r="1132" spans="34:34" x14ac:dyDescent="0.3">
      <c r="AH1132" s="7">
        <v>290.98</v>
      </c>
    </row>
    <row r="1133" spans="34:34" x14ac:dyDescent="0.3">
      <c r="AH1133" s="7">
        <v>21.77</v>
      </c>
    </row>
    <row r="1134" spans="34:34" x14ac:dyDescent="0.3">
      <c r="AH1134" s="7">
        <v>384.22</v>
      </c>
    </row>
    <row r="1135" spans="34:34" x14ac:dyDescent="0.3">
      <c r="AH1135" s="7">
        <v>31.64</v>
      </c>
    </row>
    <row r="1136" spans="34:34" x14ac:dyDescent="0.3">
      <c r="AH1136" s="7">
        <v>565.36</v>
      </c>
    </row>
    <row r="1137" spans="34:34" x14ac:dyDescent="0.3">
      <c r="AH1137" s="7">
        <v>32.76</v>
      </c>
    </row>
    <row r="1138" spans="34:34" x14ac:dyDescent="0.3">
      <c r="AH1138" s="7">
        <v>336.92</v>
      </c>
    </row>
    <row r="1139" spans="34:34" x14ac:dyDescent="0.3">
      <c r="AH1139" s="7">
        <v>114.91</v>
      </c>
    </row>
    <row r="1140" spans="34:34" x14ac:dyDescent="0.3">
      <c r="AH1140" s="7">
        <v>934.52</v>
      </c>
    </row>
    <row r="1141" spans="34:34" x14ac:dyDescent="0.3">
      <c r="AH1141" s="7">
        <v>260.66000000000003</v>
      </c>
    </row>
    <row r="1142" spans="34:34" x14ac:dyDescent="0.3">
      <c r="AH1142" s="7">
        <v>4249.37</v>
      </c>
    </row>
    <row r="1143" spans="34:34" x14ac:dyDescent="0.3">
      <c r="AH1143" s="7">
        <v>6676.61</v>
      </c>
    </row>
    <row r="1144" spans="34:34" x14ac:dyDescent="0.3">
      <c r="AH1144" s="7">
        <v>291.39999999999998</v>
      </c>
    </row>
    <row r="1145" spans="34:34" x14ac:dyDescent="0.3">
      <c r="AH1145" s="7">
        <v>146.5</v>
      </c>
    </row>
    <row r="1146" spans="34:34" x14ac:dyDescent="0.3">
      <c r="AH1146" s="7">
        <v>38.979999999999997</v>
      </c>
    </row>
    <row r="1147" spans="34:34" x14ac:dyDescent="0.3">
      <c r="AH1147" s="7">
        <v>34.159999999999997</v>
      </c>
    </row>
    <row r="1148" spans="34:34" x14ac:dyDescent="0.3">
      <c r="AH1148" s="7">
        <v>120.34</v>
      </c>
    </row>
    <row r="1149" spans="34:34" x14ac:dyDescent="0.3">
      <c r="AH1149" s="7">
        <v>153.61000000000001</v>
      </c>
    </row>
    <row r="1150" spans="34:34" x14ac:dyDescent="0.3">
      <c r="AH1150" s="7">
        <v>1414.88</v>
      </c>
    </row>
    <row r="1151" spans="34:34" x14ac:dyDescent="0.3">
      <c r="AH1151" s="7">
        <v>33.630000000000003</v>
      </c>
    </row>
    <row r="1152" spans="34:34" x14ac:dyDescent="0.3">
      <c r="AH1152" s="7">
        <v>1063.81</v>
      </c>
    </row>
    <row r="1153" spans="34:34" x14ac:dyDescent="0.3">
      <c r="AH1153" s="7">
        <v>242.7</v>
      </c>
    </row>
    <row r="1154" spans="34:34" x14ac:dyDescent="0.3">
      <c r="AH1154" s="7">
        <v>3377.06</v>
      </c>
    </row>
    <row r="1155" spans="34:34" x14ac:dyDescent="0.3">
      <c r="AH1155" s="7">
        <v>123.93</v>
      </c>
    </row>
    <row r="1156" spans="34:34" x14ac:dyDescent="0.3">
      <c r="AH1156" s="7">
        <v>93.96</v>
      </c>
    </row>
    <row r="1157" spans="34:34" x14ac:dyDescent="0.3">
      <c r="AH1157" s="7">
        <v>1818.41</v>
      </c>
    </row>
    <row r="1158" spans="34:34" x14ac:dyDescent="0.3">
      <c r="AH1158" s="7">
        <v>8.9499999999999993</v>
      </c>
    </row>
    <row r="1159" spans="34:34" x14ac:dyDescent="0.3">
      <c r="AH1159" s="7">
        <v>652.84</v>
      </c>
    </row>
    <row r="1160" spans="34:34" x14ac:dyDescent="0.3">
      <c r="AH1160" s="7">
        <v>12750.99</v>
      </c>
    </row>
    <row r="1161" spans="34:34" x14ac:dyDescent="0.3">
      <c r="AH1161" s="7">
        <v>20.54</v>
      </c>
    </row>
    <row r="1162" spans="34:34" x14ac:dyDescent="0.3">
      <c r="AH1162" s="7">
        <v>7840.04</v>
      </c>
    </row>
    <row r="1163" spans="34:34" x14ac:dyDescent="0.3">
      <c r="AH1163" s="7">
        <v>1094.33</v>
      </c>
    </row>
    <row r="1164" spans="34:34" x14ac:dyDescent="0.3">
      <c r="AH1164" s="7">
        <v>389.97</v>
      </c>
    </row>
    <row r="1165" spans="34:34" x14ac:dyDescent="0.3">
      <c r="AH1165" s="7">
        <v>84.59</v>
      </c>
    </row>
    <row r="1166" spans="34:34" x14ac:dyDescent="0.3">
      <c r="AH1166" s="7">
        <v>9666.7199999999993</v>
      </c>
    </row>
    <row r="1167" spans="34:34" x14ac:dyDescent="0.3">
      <c r="AH1167" s="7">
        <v>134.58000000000001</v>
      </c>
    </row>
    <row r="1168" spans="34:34" x14ac:dyDescent="0.3">
      <c r="AH1168" s="7">
        <v>33.65</v>
      </c>
    </row>
    <row r="1169" spans="34:34" x14ac:dyDescent="0.3">
      <c r="AH1169" s="7">
        <v>66.12</v>
      </c>
    </row>
    <row r="1170" spans="34:34" x14ac:dyDescent="0.3">
      <c r="AH1170" s="7">
        <v>3.07</v>
      </c>
    </row>
    <row r="1171" spans="34:34" x14ac:dyDescent="0.3">
      <c r="AH1171" s="7">
        <v>255.83</v>
      </c>
    </row>
    <row r="1172" spans="34:34" x14ac:dyDescent="0.3">
      <c r="AH1172" s="7">
        <v>421.18</v>
      </c>
    </row>
    <row r="1173" spans="34:34" x14ac:dyDescent="0.3">
      <c r="AH1173" s="7">
        <v>1377.46</v>
      </c>
    </row>
    <row r="1174" spans="34:34" x14ac:dyDescent="0.3">
      <c r="AH1174" s="7">
        <v>6600.63</v>
      </c>
    </row>
    <row r="1175" spans="34:34" x14ac:dyDescent="0.3">
      <c r="AH1175" s="7">
        <v>1811.99</v>
      </c>
    </row>
    <row r="1176" spans="34:34" x14ac:dyDescent="0.3">
      <c r="AH1176" s="7">
        <v>799.76</v>
      </c>
    </row>
    <row r="1177" spans="34:34" x14ac:dyDescent="0.3">
      <c r="AH1177" s="7">
        <v>609.09</v>
      </c>
    </row>
    <row r="1178" spans="34:34" x14ac:dyDescent="0.3">
      <c r="AH1178" s="7">
        <v>2761.94</v>
      </c>
    </row>
    <row r="1179" spans="34:34" x14ac:dyDescent="0.3">
      <c r="AH1179" s="7">
        <v>33.950000000000003</v>
      </c>
    </row>
    <row r="1180" spans="34:34" x14ac:dyDescent="0.3">
      <c r="AH1180" s="7">
        <v>302.33999999999997</v>
      </c>
    </row>
    <row r="1181" spans="34:34" x14ac:dyDescent="0.3">
      <c r="AH1181" s="7">
        <v>334.44</v>
      </c>
    </row>
    <row r="1182" spans="34:34" x14ac:dyDescent="0.3">
      <c r="AH1182" s="7">
        <v>556.61</v>
      </c>
    </row>
    <row r="1183" spans="34:34" x14ac:dyDescent="0.3">
      <c r="AH1183" s="7">
        <v>64.48</v>
      </c>
    </row>
    <row r="1184" spans="34:34" x14ac:dyDescent="0.3">
      <c r="AH1184" s="7">
        <v>4845.2700000000004</v>
      </c>
    </row>
    <row r="1185" spans="34:34" x14ac:dyDescent="0.3">
      <c r="AH1185" s="7">
        <v>19.68</v>
      </c>
    </row>
    <row r="1186" spans="34:34" x14ac:dyDescent="0.3">
      <c r="AH1186" s="7">
        <v>9798.84</v>
      </c>
    </row>
    <row r="1187" spans="34:34" x14ac:dyDescent="0.3">
      <c r="AH1187" s="7">
        <v>154.11000000000001</v>
      </c>
    </row>
    <row r="1188" spans="34:34" x14ac:dyDescent="0.3">
      <c r="AH1188" s="7">
        <v>242.97</v>
      </c>
    </row>
    <row r="1189" spans="34:34" x14ac:dyDescent="0.3">
      <c r="AH1189" s="7">
        <v>200.61</v>
      </c>
    </row>
    <row r="1190" spans="34:34" x14ac:dyDescent="0.3">
      <c r="AH1190" s="7">
        <v>237.83</v>
      </c>
    </row>
    <row r="1191" spans="34:34" x14ac:dyDescent="0.3">
      <c r="AH1191" s="7">
        <v>53.02</v>
      </c>
    </row>
    <row r="1192" spans="34:34" x14ac:dyDescent="0.3">
      <c r="AH1192" s="7">
        <v>248.84</v>
      </c>
    </row>
    <row r="1193" spans="34:34" x14ac:dyDescent="0.3">
      <c r="AH1193" s="7">
        <v>7.21</v>
      </c>
    </row>
    <row r="1194" spans="34:34" x14ac:dyDescent="0.3">
      <c r="AH1194" s="7">
        <v>253.87</v>
      </c>
    </row>
    <row r="1195" spans="34:34" x14ac:dyDescent="0.3">
      <c r="AH1195" s="7">
        <v>5880.46</v>
      </c>
    </row>
    <row r="1196" spans="34:34" x14ac:dyDescent="0.3">
      <c r="AH1196" s="7">
        <v>577.25</v>
      </c>
    </row>
    <row r="1197" spans="34:34" x14ac:dyDescent="0.3">
      <c r="AH1197" s="7">
        <v>4075.18</v>
      </c>
    </row>
    <row r="1198" spans="34:34" x14ac:dyDescent="0.3">
      <c r="AH1198" s="7">
        <v>1798.23</v>
      </c>
    </row>
    <row r="1199" spans="34:34" x14ac:dyDescent="0.3">
      <c r="AH1199" s="7">
        <v>727.2</v>
      </c>
    </row>
    <row r="1200" spans="34:34" x14ac:dyDescent="0.3">
      <c r="AH1200" s="7">
        <v>6173.42</v>
      </c>
    </row>
    <row r="1201" spans="34:34" x14ac:dyDescent="0.3">
      <c r="AH1201" s="7">
        <v>1553.7</v>
      </c>
    </row>
    <row r="1202" spans="34:34" x14ac:dyDescent="0.3">
      <c r="AH1202" s="7">
        <v>18.68</v>
      </c>
    </row>
    <row r="1203" spans="34:34" x14ac:dyDescent="0.3">
      <c r="AH1203" s="7">
        <v>36.299999999999997</v>
      </c>
    </row>
    <row r="1204" spans="34:34" x14ac:dyDescent="0.3">
      <c r="AH1204" s="7">
        <v>16.03</v>
      </c>
    </row>
    <row r="1205" spans="34:34" x14ac:dyDescent="0.3">
      <c r="AH1205" s="7">
        <v>25.35</v>
      </c>
    </row>
    <row r="1206" spans="34:34" x14ac:dyDescent="0.3">
      <c r="AH1206" s="7">
        <v>19.32</v>
      </c>
    </row>
    <row r="1207" spans="34:34" x14ac:dyDescent="0.3">
      <c r="AH1207" s="7">
        <v>86.8</v>
      </c>
    </row>
    <row r="1208" spans="34:34" x14ac:dyDescent="0.3">
      <c r="AH1208" s="7">
        <v>381.91</v>
      </c>
    </row>
    <row r="1209" spans="34:34" x14ac:dyDescent="0.3">
      <c r="AH1209" s="7">
        <v>761.67</v>
      </c>
    </row>
    <row r="1210" spans="34:34" x14ac:dyDescent="0.3">
      <c r="AH1210" s="7">
        <v>5014.07</v>
      </c>
    </row>
    <row r="1211" spans="34:34" x14ac:dyDescent="0.3">
      <c r="AH1211" s="7">
        <v>186.19</v>
      </c>
    </row>
    <row r="1212" spans="34:34" x14ac:dyDescent="0.3">
      <c r="AH1212" s="7">
        <v>1227.94</v>
      </c>
    </row>
    <row r="1213" spans="34:34" x14ac:dyDescent="0.3">
      <c r="AH1213" s="7">
        <v>294.97000000000003</v>
      </c>
    </row>
    <row r="1214" spans="34:34" x14ac:dyDescent="0.3">
      <c r="AH1214" s="7">
        <v>2458.0500000000002</v>
      </c>
    </row>
    <row r="1215" spans="34:34" x14ac:dyDescent="0.3">
      <c r="AH1215" s="7">
        <v>2465.75</v>
      </c>
    </row>
    <row r="1216" spans="34:34" x14ac:dyDescent="0.3">
      <c r="AH1216" s="7">
        <v>650.25</v>
      </c>
    </row>
    <row r="1217" spans="34:34" x14ac:dyDescent="0.3">
      <c r="AH1217" s="7">
        <v>272.12</v>
      </c>
    </row>
    <row r="1218" spans="34:34" x14ac:dyDescent="0.3">
      <c r="AH1218" s="7">
        <v>428.85</v>
      </c>
    </row>
    <row r="1219" spans="34:34" x14ac:dyDescent="0.3">
      <c r="AH1219" s="7">
        <v>342.54</v>
      </c>
    </row>
    <row r="1220" spans="34:34" x14ac:dyDescent="0.3">
      <c r="AH1220" s="7">
        <v>27.96</v>
      </c>
    </row>
    <row r="1221" spans="34:34" x14ac:dyDescent="0.3">
      <c r="AH1221" s="7">
        <v>1635.38</v>
      </c>
    </row>
    <row r="1222" spans="34:34" x14ac:dyDescent="0.3">
      <c r="AH1222" s="7">
        <v>58.48</v>
      </c>
    </row>
    <row r="1223" spans="34:34" x14ac:dyDescent="0.3">
      <c r="AH1223" s="7">
        <v>40.049999999999997</v>
      </c>
    </row>
    <row r="1224" spans="34:34" x14ac:dyDescent="0.3">
      <c r="AH1224" s="7">
        <v>1117.6600000000001</v>
      </c>
    </row>
    <row r="1225" spans="34:34" x14ac:dyDescent="0.3">
      <c r="AH1225" s="7">
        <v>807</v>
      </c>
    </row>
    <row r="1226" spans="34:34" x14ac:dyDescent="0.3">
      <c r="AH1226" s="7">
        <v>169.46</v>
      </c>
    </row>
    <row r="1227" spans="34:34" x14ac:dyDescent="0.3">
      <c r="AH1227" s="7">
        <v>5768.12</v>
      </c>
    </row>
    <row r="1228" spans="34:34" x14ac:dyDescent="0.3">
      <c r="AH1228" s="7">
        <v>55.25</v>
      </c>
    </row>
    <row r="1229" spans="34:34" x14ac:dyDescent="0.3">
      <c r="AH1229" s="7">
        <v>551.22</v>
      </c>
    </row>
    <row r="1230" spans="34:34" x14ac:dyDescent="0.3">
      <c r="AH1230" s="7">
        <v>83.93</v>
      </c>
    </row>
    <row r="1231" spans="34:34" x14ac:dyDescent="0.3">
      <c r="AH1231" s="7">
        <v>193.88</v>
      </c>
    </row>
    <row r="1232" spans="34:34" x14ac:dyDescent="0.3">
      <c r="AH1232" s="7">
        <v>990.25</v>
      </c>
    </row>
    <row r="1233" spans="34:34" x14ac:dyDescent="0.3">
      <c r="AH1233" s="7">
        <v>14.76</v>
      </c>
    </row>
    <row r="1234" spans="34:34" x14ac:dyDescent="0.3">
      <c r="AH1234" s="7">
        <v>808.44</v>
      </c>
    </row>
    <row r="1235" spans="34:34" x14ac:dyDescent="0.3">
      <c r="AH1235" s="7">
        <v>67.41</v>
      </c>
    </row>
    <row r="1236" spans="34:34" x14ac:dyDescent="0.3">
      <c r="AH1236" s="7">
        <v>55.08</v>
      </c>
    </row>
    <row r="1237" spans="34:34" x14ac:dyDescent="0.3">
      <c r="AH1237" s="7">
        <v>1608.11</v>
      </c>
    </row>
    <row r="1238" spans="34:34" x14ac:dyDescent="0.3">
      <c r="AH1238" s="7">
        <v>99.75</v>
      </c>
    </row>
    <row r="1239" spans="34:34" x14ac:dyDescent="0.3">
      <c r="AH1239" s="7">
        <v>51.41</v>
      </c>
    </row>
    <row r="1240" spans="34:34" x14ac:dyDescent="0.3">
      <c r="AH1240" s="7">
        <v>68.72</v>
      </c>
    </row>
    <row r="1241" spans="34:34" x14ac:dyDescent="0.3">
      <c r="AH1241" s="7">
        <v>618.96</v>
      </c>
    </row>
    <row r="1242" spans="34:34" x14ac:dyDescent="0.3">
      <c r="AH1242" s="7">
        <v>77.540000000000006</v>
      </c>
    </row>
    <row r="1243" spans="34:34" x14ac:dyDescent="0.3">
      <c r="AH1243" s="7">
        <v>361.72</v>
      </c>
    </row>
    <row r="1244" spans="34:34" x14ac:dyDescent="0.3">
      <c r="AH1244" s="7">
        <v>1373.47</v>
      </c>
    </row>
    <row r="1245" spans="34:34" x14ac:dyDescent="0.3">
      <c r="AH1245" s="7">
        <v>91.92</v>
      </c>
    </row>
    <row r="1246" spans="34:34" x14ac:dyDescent="0.3">
      <c r="AH1246" s="7">
        <v>73.290000000000006</v>
      </c>
    </row>
    <row r="1247" spans="34:34" x14ac:dyDescent="0.3">
      <c r="AH1247" s="7">
        <v>2961.32</v>
      </c>
    </row>
    <row r="1248" spans="34:34" x14ac:dyDescent="0.3">
      <c r="AH1248" s="7">
        <v>87.11</v>
      </c>
    </row>
    <row r="1249" spans="34:34" x14ac:dyDescent="0.3">
      <c r="AH1249" s="7">
        <v>170.46</v>
      </c>
    </row>
    <row r="1250" spans="34:34" x14ac:dyDescent="0.3">
      <c r="AH1250" s="7">
        <v>4.95</v>
      </c>
    </row>
    <row r="1251" spans="34:34" x14ac:dyDescent="0.3">
      <c r="AH1251" s="7">
        <v>461.24</v>
      </c>
    </row>
    <row r="1252" spans="34:34" x14ac:dyDescent="0.3">
      <c r="AH1252" s="7">
        <v>577.75</v>
      </c>
    </row>
    <row r="1253" spans="34:34" x14ac:dyDescent="0.3">
      <c r="AH1253" s="7">
        <v>59.4</v>
      </c>
    </row>
    <row r="1254" spans="34:34" x14ac:dyDescent="0.3">
      <c r="AH1254" s="7">
        <v>66.459999999999994</v>
      </c>
    </row>
    <row r="1255" spans="34:34" x14ac:dyDescent="0.3">
      <c r="AH1255" s="7">
        <v>35.35</v>
      </c>
    </row>
    <row r="1256" spans="34:34" x14ac:dyDescent="0.3">
      <c r="AH1256" s="7">
        <v>248.21</v>
      </c>
    </row>
    <row r="1257" spans="34:34" x14ac:dyDescent="0.3">
      <c r="AH1257" s="7">
        <v>4086.5</v>
      </c>
    </row>
    <row r="1258" spans="34:34" x14ac:dyDescent="0.3">
      <c r="AH1258" s="7">
        <v>375.03</v>
      </c>
    </row>
    <row r="1259" spans="34:34" x14ac:dyDescent="0.3">
      <c r="AH1259" s="7">
        <v>22.11</v>
      </c>
    </row>
    <row r="1260" spans="34:34" x14ac:dyDescent="0.3">
      <c r="AH1260" s="7">
        <v>2875.35</v>
      </c>
    </row>
    <row r="1261" spans="34:34" x14ac:dyDescent="0.3">
      <c r="AH1261" s="7">
        <v>78.08</v>
      </c>
    </row>
    <row r="1262" spans="34:34" x14ac:dyDescent="0.3">
      <c r="AH1262" s="7">
        <v>2013.88</v>
      </c>
    </row>
    <row r="1263" spans="34:34" x14ac:dyDescent="0.3">
      <c r="AH1263" s="7">
        <v>201.32</v>
      </c>
    </row>
    <row r="1264" spans="34:34" x14ac:dyDescent="0.3">
      <c r="AH1264" s="7">
        <v>298.51</v>
      </c>
    </row>
    <row r="1265" spans="34:34" x14ac:dyDescent="0.3">
      <c r="AH1265" s="7">
        <v>3846.06</v>
      </c>
    </row>
    <row r="1266" spans="34:34" x14ac:dyDescent="0.3">
      <c r="AH1266" s="7">
        <v>35.93</v>
      </c>
    </row>
    <row r="1267" spans="34:34" x14ac:dyDescent="0.3">
      <c r="AH1267" s="7">
        <v>1610.84</v>
      </c>
    </row>
    <row r="1268" spans="34:34" x14ac:dyDescent="0.3">
      <c r="AH1268" s="7">
        <v>86.12</v>
      </c>
    </row>
    <row r="1269" spans="34:34" x14ac:dyDescent="0.3">
      <c r="AH1269" s="7">
        <v>76.87</v>
      </c>
    </row>
    <row r="1270" spans="34:34" x14ac:dyDescent="0.3">
      <c r="AH1270" s="7">
        <v>374.6</v>
      </c>
    </row>
    <row r="1271" spans="34:34" x14ac:dyDescent="0.3">
      <c r="AH1271" s="7">
        <v>61.87</v>
      </c>
    </row>
    <row r="1272" spans="34:34" x14ac:dyDescent="0.3">
      <c r="AH1272" s="7">
        <v>48.88</v>
      </c>
    </row>
    <row r="1273" spans="34:34" x14ac:dyDescent="0.3">
      <c r="AH1273" s="7">
        <v>21.56</v>
      </c>
    </row>
    <row r="1274" spans="34:34" x14ac:dyDescent="0.3">
      <c r="AH1274" s="7">
        <v>164.67</v>
      </c>
    </row>
    <row r="1275" spans="34:34" x14ac:dyDescent="0.3">
      <c r="AH1275" s="7">
        <v>72.739999999999995</v>
      </c>
    </row>
    <row r="1276" spans="34:34" x14ac:dyDescent="0.3">
      <c r="AH1276" s="7">
        <v>418.75</v>
      </c>
    </row>
    <row r="1277" spans="34:34" x14ac:dyDescent="0.3">
      <c r="AH1277" s="7">
        <v>469.59</v>
      </c>
    </row>
    <row r="1278" spans="34:34" x14ac:dyDescent="0.3">
      <c r="AH1278" s="7">
        <v>136.25</v>
      </c>
    </row>
    <row r="1279" spans="34:34" x14ac:dyDescent="0.3">
      <c r="AH1279" s="7">
        <v>558.41</v>
      </c>
    </row>
    <row r="1280" spans="34:34" x14ac:dyDescent="0.3">
      <c r="AH1280" s="7">
        <v>290.22000000000003</v>
      </c>
    </row>
    <row r="1281" spans="34:34" x14ac:dyDescent="0.3">
      <c r="AH1281" s="7">
        <v>1129.67</v>
      </c>
    </row>
    <row r="1282" spans="34:34" x14ac:dyDescent="0.3">
      <c r="AH1282" s="7">
        <v>2439.37</v>
      </c>
    </row>
    <row r="1283" spans="34:34" x14ac:dyDescent="0.3">
      <c r="AH1283" s="7">
        <v>92.02</v>
      </c>
    </row>
    <row r="1284" spans="34:34" x14ac:dyDescent="0.3">
      <c r="AH1284" s="7">
        <v>283.55</v>
      </c>
    </row>
    <row r="1285" spans="34:34" x14ac:dyDescent="0.3">
      <c r="AH1285" s="7">
        <v>9757.48</v>
      </c>
    </row>
    <row r="1286" spans="34:34" x14ac:dyDescent="0.3">
      <c r="AH1286" s="7">
        <v>850.64</v>
      </c>
    </row>
    <row r="1287" spans="34:34" x14ac:dyDescent="0.3">
      <c r="AH1287" s="7">
        <v>1159.79</v>
      </c>
    </row>
    <row r="1288" spans="34:34" x14ac:dyDescent="0.3">
      <c r="AH1288" s="7">
        <v>20.22</v>
      </c>
    </row>
    <row r="1289" spans="34:34" x14ac:dyDescent="0.3">
      <c r="AH1289" s="7">
        <v>1548.97</v>
      </c>
    </row>
    <row r="1290" spans="34:34" x14ac:dyDescent="0.3">
      <c r="AH1290" s="7">
        <v>337.86</v>
      </c>
    </row>
    <row r="1291" spans="34:34" x14ac:dyDescent="0.3">
      <c r="AH1291" s="7">
        <v>84.21</v>
      </c>
    </row>
    <row r="1292" spans="34:34" x14ac:dyDescent="0.3">
      <c r="AH1292" s="7">
        <v>38.74</v>
      </c>
    </row>
    <row r="1293" spans="34:34" x14ac:dyDescent="0.3">
      <c r="AH1293" s="7">
        <v>134.09</v>
      </c>
    </row>
    <row r="1294" spans="34:34" x14ac:dyDescent="0.3">
      <c r="AH1294" s="7">
        <v>191.73</v>
      </c>
    </row>
    <row r="1295" spans="34:34" x14ac:dyDescent="0.3">
      <c r="AH1295" s="7">
        <v>618.85</v>
      </c>
    </row>
    <row r="1296" spans="34:34" x14ac:dyDescent="0.3">
      <c r="AH1296" s="7">
        <v>115.99</v>
      </c>
    </row>
    <row r="1297" spans="34:34" x14ac:dyDescent="0.3">
      <c r="AH1297" s="7">
        <v>19.46</v>
      </c>
    </row>
    <row r="1298" spans="34:34" x14ac:dyDescent="0.3">
      <c r="AH1298" s="7">
        <v>44.75</v>
      </c>
    </row>
    <row r="1299" spans="34:34" x14ac:dyDescent="0.3">
      <c r="AH1299" s="7">
        <v>9.23</v>
      </c>
    </row>
    <row r="1300" spans="34:34" x14ac:dyDescent="0.3">
      <c r="AH1300" s="7">
        <v>96.13</v>
      </c>
    </row>
    <row r="1301" spans="34:34" x14ac:dyDescent="0.3">
      <c r="AH1301" s="7">
        <v>73.959999999999994</v>
      </c>
    </row>
    <row r="1302" spans="34:34" x14ac:dyDescent="0.3">
      <c r="AH1302" s="7">
        <v>1805.9</v>
      </c>
    </row>
    <row r="1303" spans="34:34" x14ac:dyDescent="0.3">
      <c r="AH1303" s="7">
        <v>311.41000000000003</v>
      </c>
    </row>
    <row r="1304" spans="34:34" x14ac:dyDescent="0.3">
      <c r="AH1304" s="7">
        <v>3707.05</v>
      </c>
    </row>
    <row r="1305" spans="34:34" x14ac:dyDescent="0.3">
      <c r="AH1305" s="7">
        <v>2805.18</v>
      </c>
    </row>
    <row r="1306" spans="34:34" x14ac:dyDescent="0.3">
      <c r="AH1306" s="7">
        <v>80.86</v>
      </c>
    </row>
    <row r="1307" spans="34:34" x14ac:dyDescent="0.3">
      <c r="AH1307" s="7">
        <v>1096.6300000000001</v>
      </c>
    </row>
    <row r="1308" spans="34:34" x14ac:dyDescent="0.3">
      <c r="AH1308" s="7">
        <v>632.12</v>
      </c>
    </row>
    <row r="1309" spans="34:34" x14ac:dyDescent="0.3">
      <c r="AH1309" s="7">
        <v>1302.98</v>
      </c>
    </row>
    <row r="1310" spans="34:34" x14ac:dyDescent="0.3">
      <c r="AH1310" s="7">
        <v>131.79</v>
      </c>
    </row>
    <row r="1311" spans="34:34" x14ac:dyDescent="0.3">
      <c r="AH1311" s="7">
        <v>35.33</v>
      </c>
    </row>
    <row r="1312" spans="34:34" x14ac:dyDescent="0.3">
      <c r="AH1312" s="7">
        <v>674.55</v>
      </c>
    </row>
    <row r="1313" spans="34:34" x14ac:dyDescent="0.3">
      <c r="AH1313" s="7">
        <v>1721.24</v>
      </c>
    </row>
    <row r="1314" spans="34:34" x14ac:dyDescent="0.3">
      <c r="AH1314" s="7">
        <v>668.38</v>
      </c>
    </row>
    <row r="1315" spans="34:34" x14ac:dyDescent="0.3">
      <c r="AH1315" s="7">
        <v>324.62</v>
      </c>
    </row>
    <row r="1316" spans="34:34" x14ac:dyDescent="0.3">
      <c r="AH1316" s="7">
        <v>40.93</v>
      </c>
    </row>
    <row r="1317" spans="34:34" x14ac:dyDescent="0.3">
      <c r="AH1317" s="7">
        <v>53.42</v>
      </c>
    </row>
    <row r="1318" spans="34:34" x14ac:dyDescent="0.3">
      <c r="AH1318" s="7">
        <v>8.49</v>
      </c>
    </row>
    <row r="1319" spans="34:34" x14ac:dyDescent="0.3">
      <c r="AH1319" s="7">
        <v>69.89</v>
      </c>
    </row>
    <row r="1320" spans="34:34" x14ac:dyDescent="0.3">
      <c r="AH1320" s="7">
        <v>77.42</v>
      </c>
    </row>
    <row r="1321" spans="34:34" x14ac:dyDescent="0.3">
      <c r="AH1321" s="7">
        <v>7.2</v>
      </c>
    </row>
    <row r="1322" spans="34:34" x14ac:dyDescent="0.3">
      <c r="AH1322" s="7">
        <v>61.29</v>
      </c>
    </row>
    <row r="1323" spans="34:34" x14ac:dyDescent="0.3">
      <c r="AH1323" s="7">
        <v>109.15</v>
      </c>
    </row>
    <row r="1324" spans="34:34" x14ac:dyDescent="0.3">
      <c r="AH1324" s="7">
        <v>1477.84</v>
      </c>
    </row>
    <row r="1325" spans="34:34" x14ac:dyDescent="0.3">
      <c r="AH1325" s="7">
        <v>29.08</v>
      </c>
    </row>
    <row r="1326" spans="34:34" x14ac:dyDescent="0.3">
      <c r="AH1326" s="7">
        <v>1162.46</v>
      </c>
    </row>
    <row r="1327" spans="34:34" x14ac:dyDescent="0.3">
      <c r="AH1327" s="7">
        <v>109.86</v>
      </c>
    </row>
    <row r="1328" spans="34:34" x14ac:dyDescent="0.3">
      <c r="AH1328" s="7">
        <v>5911.35</v>
      </c>
    </row>
    <row r="1329" spans="34:34" x14ac:dyDescent="0.3">
      <c r="AH1329" s="7">
        <v>4649.8500000000004</v>
      </c>
    </row>
    <row r="1330" spans="34:34" x14ac:dyDescent="0.3">
      <c r="AH1330" s="7">
        <v>2259.9899999999998</v>
      </c>
    </row>
    <row r="1331" spans="34:34" x14ac:dyDescent="0.3">
      <c r="AH1331" s="7">
        <v>42.46</v>
      </c>
    </row>
    <row r="1332" spans="34:34" x14ac:dyDescent="0.3">
      <c r="AH1332" s="7">
        <v>314.06</v>
      </c>
    </row>
    <row r="1333" spans="34:34" x14ac:dyDescent="0.3">
      <c r="AH1333" s="7">
        <v>1009.99</v>
      </c>
    </row>
    <row r="1334" spans="34:34" x14ac:dyDescent="0.3">
      <c r="AH1334" s="7">
        <v>92.16</v>
      </c>
    </row>
    <row r="1335" spans="34:34" x14ac:dyDescent="0.3">
      <c r="AH1335" s="7">
        <v>16.5</v>
      </c>
    </row>
    <row r="1336" spans="34:34" x14ac:dyDescent="0.3">
      <c r="AH1336" s="7">
        <v>1202.6600000000001</v>
      </c>
    </row>
    <row r="1337" spans="34:34" x14ac:dyDescent="0.3">
      <c r="AH1337" s="7">
        <v>196.69</v>
      </c>
    </row>
    <row r="1338" spans="34:34" x14ac:dyDescent="0.3">
      <c r="AH1338" s="7">
        <v>40.28</v>
      </c>
    </row>
    <row r="1339" spans="34:34" x14ac:dyDescent="0.3">
      <c r="AH1339" s="7">
        <v>904.31</v>
      </c>
    </row>
    <row r="1340" spans="34:34" x14ac:dyDescent="0.3">
      <c r="AH1340" s="7">
        <v>96.86</v>
      </c>
    </row>
    <row r="1341" spans="34:34" x14ac:dyDescent="0.3">
      <c r="AH1341" s="7">
        <v>765.65</v>
      </c>
    </row>
    <row r="1342" spans="34:34" x14ac:dyDescent="0.3">
      <c r="AH1342" s="7">
        <v>8.7200000000000006</v>
      </c>
    </row>
    <row r="1343" spans="34:34" x14ac:dyDescent="0.3">
      <c r="AH1343" s="7">
        <v>6355.69</v>
      </c>
    </row>
    <row r="1344" spans="34:34" x14ac:dyDescent="0.3">
      <c r="AH1344" s="7">
        <v>28.09</v>
      </c>
    </row>
    <row r="1345" spans="34:34" x14ac:dyDescent="0.3">
      <c r="AH1345" s="7">
        <v>1130.1500000000001</v>
      </c>
    </row>
    <row r="1346" spans="34:34" x14ac:dyDescent="0.3">
      <c r="AH1346" s="7">
        <v>54.37</v>
      </c>
    </row>
    <row r="1347" spans="34:34" x14ac:dyDescent="0.3">
      <c r="AH1347" s="7">
        <v>100.87</v>
      </c>
    </row>
    <row r="1348" spans="34:34" x14ac:dyDescent="0.3">
      <c r="AH1348" s="7">
        <v>1857.08</v>
      </c>
    </row>
    <row r="1349" spans="34:34" x14ac:dyDescent="0.3">
      <c r="AH1349" s="7">
        <v>42.56</v>
      </c>
    </row>
    <row r="1350" spans="34:34" x14ac:dyDescent="0.3">
      <c r="AH1350" s="7">
        <v>414.91</v>
      </c>
    </row>
    <row r="1351" spans="34:34" x14ac:dyDescent="0.3">
      <c r="AH1351" s="7">
        <v>91.39</v>
      </c>
    </row>
    <row r="1352" spans="34:34" x14ac:dyDescent="0.3">
      <c r="AH1352" s="7">
        <v>202.29</v>
      </c>
    </row>
    <row r="1353" spans="34:34" x14ac:dyDescent="0.3">
      <c r="AH1353" s="7">
        <v>168.71</v>
      </c>
    </row>
    <row r="1354" spans="34:34" x14ac:dyDescent="0.3">
      <c r="AH1354" s="7">
        <v>885.65</v>
      </c>
    </row>
    <row r="1355" spans="34:34" x14ac:dyDescent="0.3">
      <c r="AH1355" s="7">
        <v>152.05000000000001</v>
      </c>
    </row>
    <row r="1356" spans="34:34" x14ac:dyDescent="0.3">
      <c r="AH1356" s="7">
        <v>49.1</v>
      </c>
    </row>
    <row r="1357" spans="34:34" x14ac:dyDescent="0.3">
      <c r="AH1357" s="7">
        <v>246.44</v>
      </c>
    </row>
    <row r="1358" spans="34:34" x14ac:dyDescent="0.3">
      <c r="AH1358" s="7">
        <v>199.08</v>
      </c>
    </row>
    <row r="1359" spans="34:34" x14ac:dyDescent="0.3">
      <c r="AH1359" s="7">
        <v>2039.07</v>
      </c>
    </row>
    <row r="1360" spans="34:34" x14ac:dyDescent="0.3">
      <c r="AH1360" s="7">
        <v>436.94</v>
      </c>
    </row>
    <row r="1361" spans="34:34" x14ac:dyDescent="0.3">
      <c r="AH1361" s="7">
        <v>37.380000000000003</v>
      </c>
    </row>
    <row r="1362" spans="34:34" x14ac:dyDescent="0.3">
      <c r="AH1362" s="7">
        <v>47.4</v>
      </c>
    </row>
    <row r="1363" spans="34:34" x14ac:dyDescent="0.3">
      <c r="AH1363" s="7">
        <v>260</v>
      </c>
    </row>
    <row r="1364" spans="34:34" x14ac:dyDescent="0.3">
      <c r="AH1364" s="7">
        <v>709.7</v>
      </c>
    </row>
    <row r="1365" spans="34:34" x14ac:dyDescent="0.3">
      <c r="AH1365" s="7">
        <v>27.42</v>
      </c>
    </row>
    <row r="1366" spans="34:34" x14ac:dyDescent="0.3">
      <c r="AH1366" s="7">
        <v>739.06</v>
      </c>
    </row>
    <row r="1367" spans="34:34" x14ac:dyDescent="0.3">
      <c r="AH1367" s="7">
        <v>30.47</v>
      </c>
    </row>
    <row r="1368" spans="34:34" x14ac:dyDescent="0.3">
      <c r="AH1368" s="7">
        <v>96.96</v>
      </c>
    </row>
    <row r="1369" spans="34:34" x14ac:dyDescent="0.3">
      <c r="AH1369" s="7">
        <v>4.21</v>
      </c>
    </row>
    <row r="1370" spans="34:34" x14ac:dyDescent="0.3">
      <c r="AH1370" s="7">
        <v>3550.28</v>
      </c>
    </row>
    <row r="1371" spans="34:34" x14ac:dyDescent="0.3">
      <c r="AH1371" s="7">
        <v>1188.6300000000001</v>
      </c>
    </row>
    <row r="1372" spans="34:34" x14ac:dyDescent="0.3">
      <c r="AH1372" s="7">
        <v>1009.93</v>
      </c>
    </row>
    <row r="1373" spans="34:34" x14ac:dyDescent="0.3">
      <c r="AH1373" s="7">
        <v>140.69999999999999</v>
      </c>
    </row>
    <row r="1374" spans="34:34" x14ac:dyDescent="0.3">
      <c r="AH1374" s="7">
        <v>15.95</v>
      </c>
    </row>
    <row r="1375" spans="34:34" x14ac:dyDescent="0.3">
      <c r="AH1375" s="7">
        <v>42.35</v>
      </c>
    </row>
    <row r="1376" spans="34:34" x14ac:dyDescent="0.3">
      <c r="AH1376" s="7">
        <v>63.78</v>
      </c>
    </row>
    <row r="1377" spans="34:34" x14ac:dyDescent="0.3">
      <c r="AH1377" s="7">
        <v>451.61</v>
      </c>
    </row>
    <row r="1378" spans="34:34" x14ac:dyDescent="0.3">
      <c r="AH1378" s="7">
        <v>10.41</v>
      </c>
    </row>
    <row r="1379" spans="34:34" x14ac:dyDescent="0.3">
      <c r="AH1379" s="7">
        <v>2849.64</v>
      </c>
    </row>
    <row r="1380" spans="34:34" x14ac:dyDescent="0.3">
      <c r="AH1380" s="7">
        <v>38.04</v>
      </c>
    </row>
    <row r="1381" spans="34:34" x14ac:dyDescent="0.3">
      <c r="AH1381" s="7">
        <v>42.53</v>
      </c>
    </row>
    <row r="1382" spans="34:34" x14ac:dyDescent="0.3">
      <c r="AH1382" s="7">
        <v>14.77</v>
      </c>
    </row>
    <row r="1383" spans="34:34" x14ac:dyDescent="0.3">
      <c r="AH1383" s="7">
        <v>438.33</v>
      </c>
    </row>
    <row r="1384" spans="34:34" x14ac:dyDescent="0.3">
      <c r="AH1384" s="7">
        <v>38.11</v>
      </c>
    </row>
    <row r="1385" spans="34:34" x14ac:dyDescent="0.3">
      <c r="AH1385" s="7">
        <v>169.46</v>
      </c>
    </row>
    <row r="1386" spans="34:34" x14ac:dyDescent="0.3">
      <c r="AH1386" s="7">
        <v>724.57</v>
      </c>
    </row>
    <row r="1387" spans="34:34" x14ac:dyDescent="0.3">
      <c r="AH1387" s="7">
        <v>51.13</v>
      </c>
    </row>
    <row r="1388" spans="34:34" x14ac:dyDescent="0.3">
      <c r="AH1388" s="7">
        <v>79.61</v>
      </c>
    </row>
    <row r="1389" spans="34:34" x14ac:dyDescent="0.3">
      <c r="AH1389" s="7">
        <v>109.99</v>
      </c>
    </row>
    <row r="1390" spans="34:34" x14ac:dyDescent="0.3">
      <c r="AH1390" s="7">
        <v>900.12</v>
      </c>
    </row>
    <row r="1391" spans="34:34" x14ac:dyDescent="0.3">
      <c r="AH1391" s="7">
        <v>237.62</v>
      </c>
    </row>
    <row r="1392" spans="34:34" x14ac:dyDescent="0.3">
      <c r="AH1392" s="7">
        <v>176.42</v>
      </c>
    </row>
    <row r="1393" spans="34:34" x14ac:dyDescent="0.3">
      <c r="AH1393" s="7">
        <v>2084.16</v>
      </c>
    </row>
    <row r="1394" spans="34:34" x14ac:dyDescent="0.3">
      <c r="AH1394" s="7">
        <v>43.41</v>
      </c>
    </row>
    <row r="1395" spans="34:34" x14ac:dyDescent="0.3">
      <c r="AH1395" s="7">
        <v>46.42</v>
      </c>
    </row>
    <row r="1396" spans="34:34" x14ac:dyDescent="0.3">
      <c r="AH1396" s="7">
        <v>1140.95</v>
      </c>
    </row>
    <row r="1397" spans="34:34" x14ac:dyDescent="0.3">
      <c r="AH1397" s="7">
        <v>42.69</v>
      </c>
    </row>
    <row r="1398" spans="34:34" x14ac:dyDescent="0.3">
      <c r="AH1398" s="7">
        <v>327.41000000000003</v>
      </c>
    </row>
    <row r="1399" spans="34:34" x14ac:dyDescent="0.3">
      <c r="AH1399" s="7">
        <v>3786.84</v>
      </c>
    </row>
    <row r="1400" spans="34:34" x14ac:dyDescent="0.3">
      <c r="AH1400" s="7">
        <v>2012.11</v>
      </c>
    </row>
    <row r="1401" spans="34:34" x14ac:dyDescent="0.3">
      <c r="AH1401" s="7">
        <v>471.66</v>
      </c>
    </row>
    <row r="1402" spans="34:34" x14ac:dyDescent="0.3">
      <c r="AH1402" s="7">
        <v>662.8</v>
      </c>
    </row>
    <row r="1403" spans="34:34" x14ac:dyDescent="0.3">
      <c r="AH1403" s="7">
        <v>119.86</v>
      </c>
    </row>
    <row r="1404" spans="34:34" x14ac:dyDescent="0.3">
      <c r="AH1404" s="7">
        <v>2651.21</v>
      </c>
    </row>
    <row r="1405" spans="34:34" x14ac:dyDescent="0.3">
      <c r="AH1405" s="7">
        <v>38.96</v>
      </c>
    </row>
    <row r="1406" spans="34:34" x14ac:dyDescent="0.3">
      <c r="AH1406" s="7">
        <v>8048.45</v>
      </c>
    </row>
    <row r="1407" spans="34:34" x14ac:dyDescent="0.3">
      <c r="AH1407" s="7">
        <v>1939.03</v>
      </c>
    </row>
    <row r="1408" spans="34:34" x14ac:dyDescent="0.3">
      <c r="AH1408" s="7">
        <v>457.63</v>
      </c>
    </row>
    <row r="1409" spans="34:34" x14ac:dyDescent="0.3">
      <c r="AH1409" s="7">
        <v>170.75</v>
      </c>
    </row>
    <row r="1410" spans="34:34" x14ac:dyDescent="0.3">
      <c r="AH1410" s="7">
        <v>1339.42</v>
      </c>
    </row>
    <row r="1411" spans="34:34" x14ac:dyDescent="0.3">
      <c r="AH1411" s="7">
        <v>8.66</v>
      </c>
    </row>
    <row r="1412" spans="34:34" x14ac:dyDescent="0.3">
      <c r="AH1412" s="7">
        <v>10554.63</v>
      </c>
    </row>
    <row r="1413" spans="34:34" x14ac:dyDescent="0.3">
      <c r="AH1413" s="7">
        <v>1749.64</v>
      </c>
    </row>
    <row r="1414" spans="34:34" x14ac:dyDescent="0.3">
      <c r="AH1414" s="7">
        <v>355.4</v>
      </c>
    </row>
    <row r="1415" spans="34:34" x14ac:dyDescent="0.3">
      <c r="AH1415" s="7">
        <v>148.36000000000001</v>
      </c>
    </row>
    <row r="1416" spans="34:34" x14ac:dyDescent="0.3">
      <c r="AH1416" s="7">
        <v>2814.57</v>
      </c>
    </row>
    <row r="1417" spans="34:34" x14ac:dyDescent="0.3">
      <c r="AH1417" s="7">
        <v>88.85</v>
      </c>
    </row>
    <row r="1418" spans="34:34" x14ac:dyDescent="0.3">
      <c r="AH1418" s="7">
        <v>70.819999999999993</v>
      </c>
    </row>
    <row r="1419" spans="34:34" x14ac:dyDescent="0.3">
      <c r="AH1419" s="7">
        <v>90.44</v>
      </c>
    </row>
    <row r="1420" spans="34:34" x14ac:dyDescent="0.3">
      <c r="AH1420" s="7">
        <v>10.72</v>
      </c>
    </row>
    <row r="1421" spans="34:34" x14ac:dyDescent="0.3">
      <c r="AH1421" s="7">
        <v>10180.01</v>
      </c>
    </row>
    <row r="1422" spans="34:34" x14ac:dyDescent="0.3">
      <c r="AH1422" s="7">
        <v>42.44</v>
      </c>
    </row>
    <row r="1423" spans="34:34" x14ac:dyDescent="0.3">
      <c r="AH1423" s="7">
        <v>462.57</v>
      </c>
    </row>
    <row r="1424" spans="34:34" x14ac:dyDescent="0.3">
      <c r="AH1424" s="7">
        <v>125.37</v>
      </c>
    </row>
    <row r="1425" spans="34:34" x14ac:dyDescent="0.3">
      <c r="AH1425" s="7">
        <v>190.85</v>
      </c>
    </row>
    <row r="1426" spans="34:34" x14ac:dyDescent="0.3">
      <c r="AH1426" s="7">
        <v>370.68</v>
      </c>
    </row>
    <row r="1427" spans="34:34" x14ac:dyDescent="0.3">
      <c r="AH1427" s="7">
        <v>2400.9499999999998</v>
      </c>
    </row>
    <row r="1428" spans="34:34" x14ac:dyDescent="0.3">
      <c r="AH1428" s="7">
        <v>7303.05</v>
      </c>
    </row>
    <row r="1429" spans="34:34" x14ac:dyDescent="0.3">
      <c r="AH1429" s="7">
        <v>58.05</v>
      </c>
    </row>
    <row r="1430" spans="34:34" x14ac:dyDescent="0.3">
      <c r="AH1430" s="7">
        <v>68.64</v>
      </c>
    </row>
    <row r="1431" spans="34:34" x14ac:dyDescent="0.3">
      <c r="AH1431" s="7">
        <v>277.07</v>
      </c>
    </row>
    <row r="1432" spans="34:34" x14ac:dyDescent="0.3">
      <c r="AH1432" s="7">
        <v>51.99</v>
      </c>
    </row>
    <row r="1433" spans="34:34" x14ac:dyDescent="0.3">
      <c r="AH1433" s="7">
        <v>149.66999999999999</v>
      </c>
    </row>
    <row r="1434" spans="34:34" x14ac:dyDescent="0.3">
      <c r="AH1434" s="7">
        <v>61.1</v>
      </c>
    </row>
    <row r="1435" spans="34:34" x14ac:dyDescent="0.3">
      <c r="AH1435" s="7">
        <v>193.81</v>
      </c>
    </row>
    <row r="1436" spans="34:34" x14ac:dyDescent="0.3">
      <c r="AH1436" s="7">
        <v>257.48</v>
      </c>
    </row>
    <row r="1437" spans="34:34" x14ac:dyDescent="0.3">
      <c r="AH1437" s="7">
        <v>3194.99</v>
      </c>
    </row>
    <row r="1438" spans="34:34" x14ac:dyDescent="0.3">
      <c r="AH1438" s="7">
        <v>202.98</v>
      </c>
    </row>
    <row r="1439" spans="34:34" x14ac:dyDescent="0.3">
      <c r="AH1439" s="7">
        <v>10.86</v>
      </c>
    </row>
    <row r="1440" spans="34:34" x14ac:dyDescent="0.3">
      <c r="AH1440" s="7">
        <v>1477.57</v>
      </c>
    </row>
    <row r="1441" spans="34:34" x14ac:dyDescent="0.3">
      <c r="AH1441" s="7">
        <v>382.29</v>
      </c>
    </row>
    <row r="1442" spans="34:34" x14ac:dyDescent="0.3">
      <c r="AH1442" s="7">
        <v>881.74</v>
      </c>
    </row>
    <row r="1443" spans="34:34" x14ac:dyDescent="0.3">
      <c r="AH1443" s="7">
        <v>7384.18</v>
      </c>
    </row>
    <row r="1444" spans="34:34" x14ac:dyDescent="0.3">
      <c r="AH1444" s="7">
        <v>448.26</v>
      </c>
    </row>
    <row r="1445" spans="34:34" x14ac:dyDescent="0.3">
      <c r="AH1445" s="7">
        <v>95.57</v>
      </c>
    </row>
    <row r="1446" spans="34:34" x14ac:dyDescent="0.3">
      <c r="AH1446" s="7">
        <v>214.48</v>
      </c>
    </row>
    <row r="1447" spans="34:34" x14ac:dyDescent="0.3">
      <c r="AH1447" s="7">
        <v>1790.1</v>
      </c>
    </row>
    <row r="1448" spans="34:34" x14ac:dyDescent="0.3">
      <c r="AH1448" s="7">
        <v>110.68</v>
      </c>
    </row>
    <row r="1449" spans="34:34" x14ac:dyDescent="0.3">
      <c r="AH1449" s="7">
        <v>385.45</v>
      </c>
    </row>
    <row r="1450" spans="34:34" x14ac:dyDescent="0.3">
      <c r="AH1450" s="7">
        <v>19.32</v>
      </c>
    </row>
    <row r="1451" spans="34:34" x14ac:dyDescent="0.3">
      <c r="AH1451" s="7">
        <v>30.1</v>
      </c>
    </row>
    <row r="1452" spans="34:34" x14ac:dyDescent="0.3">
      <c r="AH1452" s="7">
        <v>261.20999999999998</v>
      </c>
    </row>
    <row r="1453" spans="34:34" x14ac:dyDescent="0.3">
      <c r="AH1453" s="7">
        <v>42.79</v>
      </c>
    </row>
    <row r="1454" spans="34:34" x14ac:dyDescent="0.3">
      <c r="AH1454" s="7">
        <v>1828.22</v>
      </c>
    </row>
    <row r="1455" spans="34:34" x14ac:dyDescent="0.3">
      <c r="AH1455" s="7">
        <v>29.77</v>
      </c>
    </row>
    <row r="1456" spans="34:34" x14ac:dyDescent="0.3">
      <c r="AH1456" s="7">
        <v>147.19</v>
      </c>
    </row>
    <row r="1457" spans="34:34" x14ac:dyDescent="0.3">
      <c r="AH1457" s="7">
        <v>39.17</v>
      </c>
    </row>
    <row r="1458" spans="34:34" x14ac:dyDescent="0.3">
      <c r="AH1458" s="7">
        <v>87.85</v>
      </c>
    </row>
    <row r="1459" spans="34:34" x14ac:dyDescent="0.3">
      <c r="AH1459" s="7">
        <v>7429.63</v>
      </c>
    </row>
    <row r="1460" spans="34:34" x14ac:dyDescent="0.3">
      <c r="AH1460" s="7">
        <v>224.29</v>
      </c>
    </row>
    <row r="1461" spans="34:34" x14ac:dyDescent="0.3">
      <c r="AH1461" s="7">
        <v>51.2</v>
      </c>
    </row>
    <row r="1462" spans="34:34" x14ac:dyDescent="0.3">
      <c r="AH1462" s="7">
        <v>29718.53</v>
      </c>
    </row>
    <row r="1463" spans="34:34" x14ac:dyDescent="0.3">
      <c r="AH1463" s="7">
        <v>197.48</v>
      </c>
    </row>
    <row r="1464" spans="34:34" x14ac:dyDescent="0.3">
      <c r="AH1464" s="7">
        <v>46.85</v>
      </c>
    </row>
    <row r="1465" spans="34:34" x14ac:dyDescent="0.3">
      <c r="AH1465" s="7">
        <v>93.57</v>
      </c>
    </row>
    <row r="1466" spans="34:34" x14ac:dyDescent="0.3">
      <c r="AH1466" s="7">
        <v>2694.49</v>
      </c>
    </row>
    <row r="1467" spans="34:34" x14ac:dyDescent="0.3">
      <c r="AH1467" s="7">
        <v>174.5</v>
      </c>
    </row>
    <row r="1468" spans="34:34" x14ac:dyDescent="0.3">
      <c r="AH1468" s="7">
        <v>26.01</v>
      </c>
    </row>
    <row r="1469" spans="34:34" x14ac:dyDescent="0.3">
      <c r="AH1469" s="7">
        <v>1527.97</v>
      </c>
    </row>
    <row r="1470" spans="34:34" x14ac:dyDescent="0.3">
      <c r="AH1470" s="7">
        <v>110.86</v>
      </c>
    </row>
    <row r="1471" spans="34:34" x14ac:dyDescent="0.3">
      <c r="AH1471" s="7">
        <v>97.98</v>
      </c>
    </row>
    <row r="1472" spans="34:34" x14ac:dyDescent="0.3">
      <c r="AH1472" s="7">
        <v>127.83</v>
      </c>
    </row>
    <row r="1473" spans="34:34" x14ac:dyDescent="0.3">
      <c r="AH1473" s="7">
        <v>289.88</v>
      </c>
    </row>
    <row r="1474" spans="34:34" x14ac:dyDescent="0.3">
      <c r="AH1474" s="7">
        <v>4354.55</v>
      </c>
    </row>
    <row r="1475" spans="34:34" x14ac:dyDescent="0.3">
      <c r="AH1475" s="7">
        <v>146.16999999999999</v>
      </c>
    </row>
    <row r="1476" spans="34:34" x14ac:dyDescent="0.3">
      <c r="AH1476" s="7">
        <v>42.02</v>
      </c>
    </row>
    <row r="1477" spans="34:34" x14ac:dyDescent="0.3">
      <c r="AH1477" s="7">
        <v>3705.14</v>
      </c>
    </row>
    <row r="1478" spans="34:34" x14ac:dyDescent="0.3">
      <c r="AH1478" s="7">
        <v>945.36</v>
      </c>
    </row>
    <row r="1479" spans="34:34" x14ac:dyDescent="0.3">
      <c r="AH1479" s="7">
        <v>49.24</v>
      </c>
    </row>
    <row r="1480" spans="34:34" x14ac:dyDescent="0.3">
      <c r="AH1480" s="7">
        <v>68.45</v>
      </c>
    </row>
    <row r="1481" spans="34:34" x14ac:dyDescent="0.3">
      <c r="AH1481" s="7">
        <v>44.75</v>
      </c>
    </row>
    <row r="1482" spans="34:34" x14ac:dyDescent="0.3">
      <c r="AH1482" s="7">
        <v>40.69</v>
      </c>
    </row>
    <row r="1483" spans="34:34" x14ac:dyDescent="0.3">
      <c r="AH1483" s="7">
        <v>130.11000000000001</v>
      </c>
    </row>
    <row r="1484" spans="34:34" x14ac:dyDescent="0.3">
      <c r="AH1484" s="7">
        <v>337.34</v>
      </c>
    </row>
    <row r="1485" spans="34:34" x14ac:dyDescent="0.3">
      <c r="AH1485" s="7">
        <v>280.43</v>
      </c>
    </row>
    <row r="1486" spans="34:34" x14ac:dyDescent="0.3">
      <c r="AH1486" s="7">
        <v>103.39</v>
      </c>
    </row>
    <row r="1487" spans="34:34" x14ac:dyDescent="0.3">
      <c r="AH1487" s="7">
        <v>435.39</v>
      </c>
    </row>
    <row r="1488" spans="34:34" x14ac:dyDescent="0.3">
      <c r="AH1488" s="7">
        <v>1051.52</v>
      </c>
    </row>
    <row r="1489" spans="34:34" x14ac:dyDescent="0.3">
      <c r="AH1489" s="7">
        <v>25.85</v>
      </c>
    </row>
    <row r="1490" spans="34:34" x14ac:dyDescent="0.3">
      <c r="AH1490" s="7">
        <v>119.37</v>
      </c>
    </row>
    <row r="1491" spans="34:34" x14ac:dyDescent="0.3">
      <c r="AH1491" s="7">
        <v>257.92</v>
      </c>
    </row>
    <row r="1492" spans="34:34" x14ac:dyDescent="0.3">
      <c r="AH1492" s="7">
        <v>207.22</v>
      </c>
    </row>
    <row r="1493" spans="34:34" x14ac:dyDescent="0.3">
      <c r="AH1493" s="7">
        <v>237.8</v>
      </c>
    </row>
    <row r="1494" spans="34:34" x14ac:dyDescent="0.3">
      <c r="AH1494" s="7">
        <v>448.47</v>
      </c>
    </row>
    <row r="1495" spans="34:34" x14ac:dyDescent="0.3">
      <c r="AH1495" s="7">
        <v>1000.26</v>
      </c>
    </row>
    <row r="1496" spans="34:34" x14ac:dyDescent="0.3">
      <c r="AH1496" s="7">
        <v>2184.9899999999998</v>
      </c>
    </row>
    <row r="1497" spans="34:34" x14ac:dyDescent="0.3">
      <c r="AH1497" s="7">
        <v>1191.2</v>
      </c>
    </row>
    <row r="1498" spans="34:34" x14ac:dyDescent="0.3">
      <c r="AH1498" s="7">
        <v>165.71</v>
      </c>
    </row>
    <row r="1499" spans="34:34" x14ac:dyDescent="0.3">
      <c r="AH1499" s="7">
        <v>1277.49</v>
      </c>
    </row>
    <row r="1500" spans="34:34" x14ac:dyDescent="0.3">
      <c r="AH1500" s="7">
        <v>14.2</v>
      </c>
    </row>
    <row r="1501" spans="34:34" x14ac:dyDescent="0.3">
      <c r="AH1501" s="7">
        <v>52.21</v>
      </c>
    </row>
    <row r="1502" spans="34:34" x14ac:dyDescent="0.3">
      <c r="AH1502" s="7">
        <v>170.32</v>
      </c>
    </row>
    <row r="1503" spans="34:34" x14ac:dyDescent="0.3">
      <c r="AH1503" s="7">
        <v>203.29</v>
      </c>
    </row>
    <row r="1504" spans="34:34" x14ac:dyDescent="0.3">
      <c r="AH1504" s="7">
        <v>759.88</v>
      </c>
    </row>
    <row r="1505" spans="34:34" x14ac:dyDescent="0.3">
      <c r="AH1505" s="7">
        <v>94.2</v>
      </c>
    </row>
    <row r="1506" spans="34:34" x14ac:dyDescent="0.3">
      <c r="AH1506" s="7">
        <v>34.32</v>
      </c>
    </row>
    <row r="1507" spans="34:34" x14ac:dyDescent="0.3">
      <c r="AH1507" s="7">
        <v>392.45</v>
      </c>
    </row>
    <row r="1508" spans="34:34" x14ac:dyDescent="0.3">
      <c r="AH1508" s="7">
        <v>511.25</v>
      </c>
    </row>
    <row r="1509" spans="34:34" x14ac:dyDescent="0.3">
      <c r="AH1509" s="7">
        <v>29.88</v>
      </c>
    </row>
    <row r="1510" spans="34:34" x14ac:dyDescent="0.3">
      <c r="AH1510" s="7">
        <v>599.03</v>
      </c>
    </row>
    <row r="1511" spans="34:34" x14ac:dyDescent="0.3">
      <c r="AH1511" s="7">
        <v>356.92</v>
      </c>
    </row>
    <row r="1512" spans="34:34" x14ac:dyDescent="0.3">
      <c r="AH1512" s="7">
        <v>136.16</v>
      </c>
    </row>
    <row r="1513" spans="34:34" x14ac:dyDescent="0.3">
      <c r="AH1513" s="7">
        <v>130.74</v>
      </c>
    </row>
    <row r="1514" spans="34:34" x14ac:dyDescent="0.3">
      <c r="AH1514" s="7">
        <v>49.87</v>
      </c>
    </row>
    <row r="1515" spans="34:34" x14ac:dyDescent="0.3">
      <c r="AH1515" s="7">
        <v>24.18</v>
      </c>
    </row>
    <row r="1516" spans="34:34" x14ac:dyDescent="0.3">
      <c r="AH1516" s="7">
        <v>27587.55</v>
      </c>
    </row>
    <row r="1517" spans="34:34" x14ac:dyDescent="0.3">
      <c r="AH1517" s="7">
        <v>1191.58</v>
      </c>
    </row>
    <row r="1518" spans="34:34" x14ac:dyDescent="0.3">
      <c r="AH1518" s="7">
        <v>6938.19</v>
      </c>
    </row>
    <row r="1519" spans="34:34" x14ac:dyDescent="0.3">
      <c r="AH1519" s="7">
        <v>419.27</v>
      </c>
    </row>
    <row r="1520" spans="34:34" x14ac:dyDescent="0.3">
      <c r="AH1520" s="7">
        <v>36</v>
      </c>
    </row>
    <row r="1521" spans="34:34" x14ac:dyDescent="0.3">
      <c r="AH1521" s="7">
        <v>11.78</v>
      </c>
    </row>
    <row r="1522" spans="34:34" x14ac:dyDescent="0.3">
      <c r="AH1522" s="7">
        <v>20.96</v>
      </c>
    </row>
    <row r="1523" spans="34:34" x14ac:dyDescent="0.3">
      <c r="AH1523" s="7">
        <v>26.66</v>
      </c>
    </row>
    <row r="1524" spans="34:34" x14ac:dyDescent="0.3">
      <c r="AH1524" s="7">
        <v>29.55</v>
      </c>
    </row>
    <row r="1525" spans="34:34" x14ac:dyDescent="0.3">
      <c r="AH1525" s="7">
        <v>1237.4000000000001</v>
      </c>
    </row>
    <row r="1526" spans="34:34" x14ac:dyDescent="0.3">
      <c r="AH1526" s="7">
        <v>17.64</v>
      </c>
    </row>
    <row r="1527" spans="34:34" x14ac:dyDescent="0.3">
      <c r="AH1527" s="7">
        <v>74.23</v>
      </c>
    </row>
    <row r="1528" spans="34:34" x14ac:dyDescent="0.3">
      <c r="AH1528" s="7">
        <v>627.19000000000005</v>
      </c>
    </row>
    <row r="1529" spans="34:34" x14ac:dyDescent="0.3">
      <c r="AH1529" s="7">
        <v>612.91999999999996</v>
      </c>
    </row>
    <row r="1530" spans="34:34" x14ac:dyDescent="0.3">
      <c r="AH1530" s="7">
        <v>29.08</v>
      </c>
    </row>
    <row r="1531" spans="34:34" x14ac:dyDescent="0.3">
      <c r="AH1531" s="7">
        <v>2569.5700000000002</v>
      </c>
    </row>
    <row r="1532" spans="34:34" x14ac:dyDescent="0.3">
      <c r="AH1532" s="7">
        <v>78.989999999999995</v>
      </c>
    </row>
    <row r="1533" spans="34:34" x14ac:dyDescent="0.3">
      <c r="AH1533" s="7">
        <v>1345.33</v>
      </c>
    </row>
    <row r="1534" spans="34:34" x14ac:dyDescent="0.3">
      <c r="AH1534" s="7">
        <v>15.19</v>
      </c>
    </row>
    <row r="1535" spans="34:34" x14ac:dyDescent="0.3">
      <c r="AH1535" s="7">
        <v>59.49</v>
      </c>
    </row>
    <row r="1536" spans="34:34" x14ac:dyDescent="0.3">
      <c r="AH1536" s="7">
        <v>57.84</v>
      </c>
    </row>
    <row r="1537" spans="34:34" x14ac:dyDescent="0.3">
      <c r="AH1537" s="7">
        <v>1425.71</v>
      </c>
    </row>
    <row r="1538" spans="34:34" x14ac:dyDescent="0.3">
      <c r="AH1538" s="7">
        <v>25.26</v>
      </c>
    </row>
    <row r="1539" spans="34:34" x14ac:dyDescent="0.3">
      <c r="AH1539" s="7">
        <v>736.16</v>
      </c>
    </row>
    <row r="1540" spans="34:34" x14ac:dyDescent="0.3">
      <c r="AH1540" s="7">
        <v>31.96</v>
      </c>
    </row>
    <row r="1541" spans="34:34" x14ac:dyDescent="0.3">
      <c r="AH1541" s="7">
        <v>98.17</v>
      </c>
    </row>
    <row r="1542" spans="34:34" x14ac:dyDescent="0.3">
      <c r="AH1542" s="7">
        <v>264.95</v>
      </c>
    </row>
    <row r="1543" spans="34:34" x14ac:dyDescent="0.3">
      <c r="AH1543" s="7">
        <v>53.21</v>
      </c>
    </row>
    <row r="1544" spans="34:34" x14ac:dyDescent="0.3">
      <c r="AH1544" s="7">
        <v>122.8</v>
      </c>
    </row>
    <row r="1545" spans="34:34" x14ac:dyDescent="0.3">
      <c r="AH1545" s="7">
        <v>282.38</v>
      </c>
    </row>
    <row r="1546" spans="34:34" x14ac:dyDescent="0.3">
      <c r="AH1546" s="7">
        <v>924.8</v>
      </c>
    </row>
    <row r="1547" spans="34:34" x14ac:dyDescent="0.3">
      <c r="AH1547" s="7">
        <v>821.17</v>
      </c>
    </row>
    <row r="1548" spans="34:34" x14ac:dyDescent="0.3">
      <c r="AH1548" s="7">
        <v>194.08</v>
      </c>
    </row>
    <row r="1549" spans="34:34" x14ac:dyDescent="0.3">
      <c r="AH1549" s="7">
        <v>237.77</v>
      </c>
    </row>
    <row r="1550" spans="34:34" x14ac:dyDescent="0.3">
      <c r="AH1550" s="7">
        <v>316.27999999999997</v>
      </c>
    </row>
    <row r="1551" spans="34:34" x14ac:dyDescent="0.3">
      <c r="AH1551" s="7">
        <v>2591.09</v>
      </c>
    </row>
    <row r="1552" spans="34:34" x14ac:dyDescent="0.3">
      <c r="AH1552" s="7">
        <v>150.24</v>
      </c>
    </row>
    <row r="1553" spans="34:34" x14ac:dyDescent="0.3">
      <c r="AH1553" s="7">
        <v>10364.36</v>
      </c>
    </row>
    <row r="1554" spans="34:34" x14ac:dyDescent="0.3">
      <c r="AH1554" s="7">
        <v>657.61</v>
      </c>
    </row>
    <row r="1555" spans="34:34" x14ac:dyDescent="0.3">
      <c r="AH1555" s="7">
        <v>241.97</v>
      </c>
    </row>
    <row r="1556" spans="34:34" x14ac:dyDescent="0.3">
      <c r="AH1556" s="7">
        <v>120.81</v>
      </c>
    </row>
    <row r="1557" spans="34:34" x14ac:dyDescent="0.3">
      <c r="AH1557" s="7">
        <v>41.4</v>
      </c>
    </row>
    <row r="1558" spans="34:34" x14ac:dyDescent="0.3">
      <c r="AH1558" s="7">
        <v>159.53</v>
      </c>
    </row>
    <row r="1559" spans="34:34" x14ac:dyDescent="0.3">
      <c r="AH1559" s="7">
        <v>536.29</v>
      </c>
    </row>
    <row r="1560" spans="34:34" x14ac:dyDescent="0.3">
      <c r="AH1560" s="7">
        <v>10.96</v>
      </c>
    </row>
    <row r="1561" spans="34:34" x14ac:dyDescent="0.3">
      <c r="AH1561" s="7">
        <v>4146.28</v>
      </c>
    </row>
    <row r="1562" spans="34:34" x14ac:dyDescent="0.3">
      <c r="AH1562" s="7">
        <v>3902.09</v>
      </c>
    </row>
    <row r="1563" spans="34:34" x14ac:dyDescent="0.3">
      <c r="AH1563" s="7">
        <v>14.18</v>
      </c>
    </row>
    <row r="1564" spans="34:34" x14ac:dyDescent="0.3">
      <c r="AH1564" s="7">
        <v>2118.9899999999998</v>
      </c>
    </row>
    <row r="1565" spans="34:34" x14ac:dyDescent="0.3">
      <c r="AH1565" s="7">
        <v>837.64</v>
      </c>
    </row>
    <row r="1566" spans="34:34" x14ac:dyDescent="0.3">
      <c r="AH1566" s="7">
        <v>345.07</v>
      </c>
    </row>
    <row r="1567" spans="34:34" x14ac:dyDescent="0.3">
      <c r="AH1567" s="7">
        <v>5.48</v>
      </c>
    </row>
    <row r="1568" spans="34:34" x14ac:dyDescent="0.3">
      <c r="AH1568" s="7">
        <v>8201.33</v>
      </c>
    </row>
    <row r="1569" spans="34:34" x14ac:dyDescent="0.3">
      <c r="AH1569" s="7">
        <v>22.67</v>
      </c>
    </row>
    <row r="1570" spans="34:34" x14ac:dyDescent="0.3">
      <c r="AH1570" s="7">
        <v>393.98</v>
      </c>
    </row>
    <row r="1571" spans="34:34" x14ac:dyDescent="0.3">
      <c r="AH1571" s="7">
        <v>19.29</v>
      </c>
    </row>
    <row r="1572" spans="34:34" x14ac:dyDescent="0.3">
      <c r="AH1572" s="7">
        <v>5.21</v>
      </c>
    </row>
    <row r="1573" spans="34:34" x14ac:dyDescent="0.3">
      <c r="AH1573" s="7">
        <v>22.92</v>
      </c>
    </row>
    <row r="1574" spans="34:34" x14ac:dyDescent="0.3">
      <c r="AH1574" s="7">
        <v>30.9</v>
      </c>
    </row>
    <row r="1575" spans="34:34" x14ac:dyDescent="0.3">
      <c r="AH1575" s="7">
        <v>2363.08</v>
      </c>
    </row>
    <row r="1576" spans="34:34" x14ac:dyDescent="0.3">
      <c r="AH1576" s="7">
        <v>328.45</v>
      </c>
    </row>
    <row r="1577" spans="34:34" x14ac:dyDescent="0.3">
      <c r="AH1577" s="7">
        <v>386.61</v>
      </c>
    </row>
    <row r="1578" spans="34:34" x14ac:dyDescent="0.3">
      <c r="AH1578" s="7">
        <v>43.94</v>
      </c>
    </row>
    <row r="1579" spans="34:34" x14ac:dyDescent="0.3">
      <c r="AH1579" s="7">
        <v>43.31</v>
      </c>
    </row>
    <row r="1580" spans="34:34" x14ac:dyDescent="0.3">
      <c r="AH1580" s="7">
        <v>284.33999999999997</v>
      </c>
    </row>
    <row r="1581" spans="34:34" x14ac:dyDescent="0.3">
      <c r="AH1581" s="7">
        <v>3913.02</v>
      </c>
    </row>
    <row r="1582" spans="34:34" x14ac:dyDescent="0.3">
      <c r="AH1582" s="7">
        <v>180.14</v>
      </c>
    </row>
    <row r="1583" spans="34:34" x14ac:dyDescent="0.3">
      <c r="AH1583" s="7">
        <v>364.92</v>
      </c>
    </row>
    <row r="1584" spans="34:34" x14ac:dyDescent="0.3">
      <c r="AH1584" s="7">
        <v>12.16</v>
      </c>
    </row>
    <row r="1585" spans="34:34" x14ac:dyDescent="0.3">
      <c r="AH1585" s="7">
        <v>147.56</v>
      </c>
    </row>
    <row r="1586" spans="34:34" x14ac:dyDescent="0.3">
      <c r="AH1586" s="7">
        <v>113.68</v>
      </c>
    </row>
    <row r="1587" spans="34:34" x14ac:dyDescent="0.3">
      <c r="AH1587" s="7">
        <v>281.75</v>
      </c>
    </row>
    <row r="1588" spans="34:34" x14ac:dyDescent="0.3">
      <c r="AH1588" s="7">
        <v>240.05</v>
      </c>
    </row>
    <row r="1589" spans="34:34" x14ac:dyDescent="0.3">
      <c r="AH1589" s="7">
        <v>87.21</v>
      </c>
    </row>
    <row r="1590" spans="34:34" x14ac:dyDescent="0.3">
      <c r="AH1590" s="7">
        <v>40.15</v>
      </c>
    </row>
    <row r="1591" spans="34:34" x14ac:dyDescent="0.3">
      <c r="AH1591" s="7">
        <v>90.46</v>
      </c>
    </row>
    <row r="1592" spans="34:34" x14ac:dyDescent="0.3">
      <c r="AH1592" s="7">
        <v>467.03</v>
      </c>
    </row>
    <row r="1593" spans="34:34" x14ac:dyDescent="0.3">
      <c r="AH1593" s="7">
        <v>608.80999999999995</v>
      </c>
    </row>
    <row r="1594" spans="34:34" x14ac:dyDescent="0.3">
      <c r="AH1594" s="7">
        <v>808.61</v>
      </c>
    </row>
    <row r="1595" spans="34:34" x14ac:dyDescent="0.3">
      <c r="AH1595" s="7">
        <v>637.37</v>
      </c>
    </row>
    <row r="1596" spans="34:34" x14ac:dyDescent="0.3">
      <c r="AH1596" s="7">
        <v>232.16</v>
      </c>
    </row>
    <row r="1597" spans="34:34" x14ac:dyDescent="0.3">
      <c r="AH1597" s="7">
        <v>360.03</v>
      </c>
    </row>
    <row r="1598" spans="34:34" x14ac:dyDescent="0.3">
      <c r="AH1598" s="7">
        <v>260.01</v>
      </c>
    </row>
    <row r="1599" spans="34:34" x14ac:dyDescent="0.3">
      <c r="AH1599" s="7">
        <v>273.79000000000002</v>
      </c>
    </row>
    <row r="1600" spans="34:34" x14ac:dyDescent="0.3">
      <c r="AH1600" s="7">
        <v>44.62</v>
      </c>
    </row>
    <row r="1601" spans="34:34" x14ac:dyDescent="0.3">
      <c r="AH1601" s="7">
        <v>268.64</v>
      </c>
    </row>
    <row r="1602" spans="34:34" x14ac:dyDescent="0.3">
      <c r="AH1602" s="7">
        <v>87.68</v>
      </c>
    </row>
    <row r="1603" spans="34:34" x14ac:dyDescent="0.3">
      <c r="AH1603" s="7">
        <v>37.619999999999997</v>
      </c>
    </row>
    <row r="1604" spans="34:34" x14ac:dyDescent="0.3">
      <c r="AH1604" s="7">
        <v>832.97</v>
      </c>
    </row>
    <row r="1605" spans="34:34" x14ac:dyDescent="0.3">
      <c r="AH1605" s="7">
        <v>1042.54</v>
      </c>
    </row>
    <row r="1606" spans="34:34" x14ac:dyDescent="0.3">
      <c r="AH1606" s="7">
        <v>76.16</v>
      </c>
    </row>
    <row r="1607" spans="34:34" x14ac:dyDescent="0.3">
      <c r="AH1607" s="7">
        <v>1038.1400000000001</v>
      </c>
    </row>
    <row r="1608" spans="34:34" x14ac:dyDescent="0.3">
      <c r="AH1608" s="7">
        <v>6296</v>
      </c>
    </row>
    <row r="1609" spans="34:34" x14ac:dyDescent="0.3">
      <c r="AH1609" s="7">
        <v>8.7899999999999991</v>
      </c>
    </row>
    <row r="1610" spans="34:34" x14ac:dyDescent="0.3">
      <c r="AH1610" s="7">
        <v>2051.6799999999998</v>
      </c>
    </row>
    <row r="1611" spans="34:34" x14ac:dyDescent="0.3">
      <c r="AH1611" s="7">
        <v>5295.03</v>
      </c>
    </row>
    <row r="1612" spans="34:34" x14ac:dyDescent="0.3">
      <c r="AH1612" s="7">
        <v>80.27</v>
      </c>
    </row>
    <row r="1613" spans="34:34" x14ac:dyDescent="0.3">
      <c r="AH1613" s="7">
        <v>3292.02</v>
      </c>
    </row>
    <row r="1614" spans="34:34" x14ac:dyDescent="0.3">
      <c r="AH1614" s="7">
        <v>199.43</v>
      </c>
    </row>
    <row r="1615" spans="34:34" x14ac:dyDescent="0.3">
      <c r="AH1615" s="7">
        <v>110.71</v>
      </c>
    </row>
    <row r="1616" spans="34:34" x14ac:dyDescent="0.3">
      <c r="AH1616" s="7">
        <v>56.68</v>
      </c>
    </row>
    <row r="1617" spans="34:34" x14ac:dyDescent="0.3">
      <c r="AH1617" s="7">
        <v>273.33999999999997</v>
      </c>
    </row>
    <row r="1618" spans="34:34" x14ac:dyDescent="0.3">
      <c r="AH1618" s="7">
        <v>226.88</v>
      </c>
    </row>
    <row r="1619" spans="34:34" x14ac:dyDescent="0.3">
      <c r="AH1619" s="7">
        <v>5220.4799999999996</v>
      </c>
    </row>
    <row r="1620" spans="34:34" x14ac:dyDescent="0.3">
      <c r="AH1620" s="7">
        <v>113.44</v>
      </c>
    </row>
    <row r="1621" spans="34:34" x14ac:dyDescent="0.3">
      <c r="AH1621" s="7">
        <v>66.02</v>
      </c>
    </row>
    <row r="1622" spans="34:34" x14ac:dyDescent="0.3">
      <c r="AH1622" s="7">
        <v>33.020000000000003</v>
      </c>
    </row>
    <row r="1623" spans="34:34" x14ac:dyDescent="0.3">
      <c r="AH1623" s="7">
        <v>2273.1</v>
      </c>
    </row>
    <row r="1624" spans="34:34" x14ac:dyDescent="0.3">
      <c r="AH1624" s="7">
        <v>19.489999999999998</v>
      </c>
    </row>
    <row r="1625" spans="34:34" x14ac:dyDescent="0.3">
      <c r="AH1625" s="7">
        <v>5845.81</v>
      </c>
    </row>
    <row r="1626" spans="34:34" x14ac:dyDescent="0.3">
      <c r="AH1626" s="7">
        <v>633.85</v>
      </c>
    </row>
    <row r="1627" spans="34:34" x14ac:dyDescent="0.3">
      <c r="AH1627" s="7">
        <v>107.51</v>
      </c>
    </row>
    <row r="1628" spans="34:34" x14ac:dyDescent="0.3">
      <c r="AH1628" s="7">
        <v>421.08</v>
      </c>
    </row>
    <row r="1629" spans="34:34" x14ac:dyDescent="0.3">
      <c r="AH1629" s="7">
        <v>77.2</v>
      </c>
    </row>
    <row r="1630" spans="34:34" x14ac:dyDescent="0.3">
      <c r="AH1630" s="7">
        <v>5587.89</v>
      </c>
    </row>
    <row r="1631" spans="34:34" x14ac:dyDescent="0.3">
      <c r="AH1631" s="7">
        <v>159.88999999999999</v>
      </c>
    </row>
    <row r="1632" spans="34:34" x14ac:dyDescent="0.3">
      <c r="AH1632" s="7">
        <v>180.48</v>
      </c>
    </row>
    <row r="1633" spans="34:34" x14ac:dyDescent="0.3">
      <c r="AH1633" s="7">
        <v>350.48</v>
      </c>
    </row>
    <row r="1634" spans="34:34" x14ac:dyDescent="0.3">
      <c r="AH1634" s="7">
        <v>936.8</v>
      </c>
    </row>
    <row r="1635" spans="34:34" x14ac:dyDescent="0.3">
      <c r="AH1635" s="7">
        <v>232.5</v>
      </c>
    </row>
    <row r="1636" spans="34:34" x14ac:dyDescent="0.3">
      <c r="AH1636" s="7">
        <v>7497.05</v>
      </c>
    </row>
    <row r="1637" spans="34:34" x14ac:dyDescent="0.3">
      <c r="AH1637" s="7">
        <v>1336.35</v>
      </c>
    </row>
    <row r="1638" spans="34:34" x14ac:dyDescent="0.3">
      <c r="AH1638" s="7">
        <v>1724.01</v>
      </c>
    </row>
    <row r="1639" spans="34:34" x14ac:dyDescent="0.3">
      <c r="AH1639" s="7">
        <v>59.79</v>
      </c>
    </row>
    <row r="1640" spans="34:34" x14ac:dyDescent="0.3">
      <c r="AH1640" s="7">
        <v>240.21</v>
      </c>
    </row>
    <row r="1641" spans="34:34" x14ac:dyDescent="0.3">
      <c r="AH1641" s="7">
        <v>1785.01</v>
      </c>
    </row>
    <row r="1642" spans="34:34" x14ac:dyDescent="0.3">
      <c r="AH1642" s="7">
        <v>318.18</v>
      </c>
    </row>
    <row r="1643" spans="34:34" x14ac:dyDescent="0.3">
      <c r="AH1643" s="7">
        <v>38.89</v>
      </c>
    </row>
    <row r="1644" spans="34:34" x14ac:dyDescent="0.3">
      <c r="AH1644" s="7">
        <v>45.12</v>
      </c>
    </row>
    <row r="1645" spans="34:34" x14ac:dyDescent="0.3">
      <c r="AH1645" s="7">
        <v>90.45</v>
      </c>
    </row>
    <row r="1646" spans="34:34" x14ac:dyDescent="0.3">
      <c r="AH1646" s="7">
        <v>2125.12</v>
      </c>
    </row>
    <row r="1647" spans="34:34" x14ac:dyDescent="0.3">
      <c r="AH1647" s="7">
        <v>45.05</v>
      </c>
    </row>
    <row r="1648" spans="34:34" x14ac:dyDescent="0.3">
      <c r="AH1648" s="7">
        <v>7045.02</v>
      </c>
    </row>
    <row r="1649" spans="34:34" x14ac:dyDescent="0.3">
      <c r="AH1649" s="7">
        <v>370.62</v>
      </c>
    </row>
    <row r="1650" spans="34:34" x14ac:dyDescent="0.3">
      <c r="AH1650" s="7">
        <v>904.25</v>
      </c>
    </row>
    <row r="1651" spans="34:34" x14ac:dyDescent="0.3">
      <c r="AH1651" s="7">
        <v>16.309999999999999</v>
      </c>
    </row>
    <row r="1652" spans="34:34" x14ac:dyDescent="0.3">
      <c r="AH1652" s="7">
        <v>364.26</v>
      </c>
    </row>
    <row r="1653" spans="34:34" x14ac:dyDescent="0.3">
      <c r="AH1653" s="7">
        <v>16.07</v>
      </c>
    </row>
    <row r="1654" spans="34:34" x14ac:dyDescent="0.3">
      <c r="AH1654" s="7">
        <v>25.26</v>
      </c>
    </row>
    <row r="1655" spans="34:34" x14ac:dyDescent="0.3">
      <c r="AH1655" s="7">
        <v>581.08000000000004</v>
      </c>
    </row>
    <row r="1656" spans="34:34" x14ac:dyDescent="0.3">
      <c r="AH1656" s="7">
        <v>27.53</v>
      </c>
    </row>
    <row r="1657" spans="34:34" x14ac:dyDescent="0.3">
      <c r="AH1657" s="7">
        <v>32.33</v>
      </c>
    </row>
    <row r="1658" spans="34:34" x14ac:dyDescent="0.3">
      <c r="AH1658" s="7">
        <v>642.05999999999995</v>
      </c>
    </row>
    <row r="1659" spans="34:34" x14ac:dyDescent="0.3">
      <c r="AH1659" s="7">
        <v>1068.5999999999999</v>
      </c>
    </row>
    <row r="1660" spans="34:34" x14ac:dyDescent="0.3">
      <c r="AH1660" s="7">
        <v>99.75</v>
      </c>
    </row>
    <row r="1661" spans="34:34" x14ac:dyDescent="0.3">
      <c r="AH1661" s="7">
        <v>226.53</v>
      </c>
    </row>
    <row r="1662" spans="34:34" x14ac:dyDescent="0.3">
      <c r="AH1662" s="7">
        <v>68.650000000000006</v>
      </c>
    </row>
    <row r="1663" spans="34:34" x14ac:dyDescent="0.3">
      <c r="AH1663" s="7">
        <v>236.83</v>
      </c>
    </row>
    <row r="1664" spans="34:34" x14ac:dyDescent="0.3">
      <c r="AH1664" s="7">
        <v>1944.87</v>
      </c>
    </row>
    <row r="1665" spans="34:34" x14ac:dyDescent="0.3">
      <c r="AH1665" s="7">
        <v>135.77000000000001</v>
      </c>
    </row>
    <row r="1666" spans="34:34" x14ac:dyDescent="0.3">
      <c r="AH1666" s="7">
        <v>55.43</v>
      </c>
    </row>
    <row r="1667" spans="34:34" x14ac:dyDescent="0.3">
      <c r="AH1667" s="7">
        <v>20.46</v>
      </c>
    </row>
    <row r="1668" spans="34:34" x14ac:dyDescent="0.3">
      <c r="AH1668" s="7">
        <v>931.87</v>
      </c>
    </row>
    <row r="1669" spans="34:34" x14ac:dyDescent="0.3">
      <c r="AH1669" s="7">
        <v>21.41</v>
      </c>
    </row>
    <row r="1670" spans="34:34" x14ac:dyDescent="0.3">
      <c r="AH1670" s="7">
        <v>59.75</v>
      </c>
    </row>
    <row r="1671" spans="34:34" x14ac:dyDescent="0.3">
      <c r="AH1671" s="7">
        <v>162.49</v>
      </c>
    </row>
    <row r="1672" spans="34:34" x14ac:dyDescent="0.3">
      <c r="AH1672" s="7">
        <v>819.4</v>
      </c>
    </row>
    <row r="1673" spans="34:34" x14ac:dyDescent="0.3">
      <c r="AH1673" s="7">
        <v>1809.75</v>
      </c>
    </row>
    <row r="1674" spans="34:34" x14ac:dyDescent="0.3">
      <c r="AH1674" s="7">
        <v>70.03</v>
      </c>
    </row>
    <row r="1675" spans="34:34" x14ac:dyDescent="0.3">
      <c r="AH1675" s="7">
        <v>102.43</v>
      </c>
    </row>
    <row r="1676" spans="34:34" x14ac:dyDescent="0.3">
      <c r="AH1676" s="7">
        <v>137.76</v>
      </c>
    </row>
    <row r="1677" spans="34:34" x14ac:dyDescent="0.3">
      <c r="AH1677" s="7">
        <v>326.02999999999997</v>
      </c>
    </row>
    <row r="1678" spans="34:34" x14ac:dyDescent="0.3">
      <c r="AH1678" s="7">
        <v>379.72</v>
      </c>
    </row>
    <row r="1679" spans="34:34" x14ac:dyDescent="0.3">
      <c r="AH1679" s="7">
        <v>48.33</v>
      </c>
    </row>
    <row r="1680" spans="34:34" x14ac:dyDescent="0.3">
      <c r="AH1680" s="7">
        <v>34.909999999999997</v>
      </c>
    </row>
    <row r="1681" spans="34:34" x14ac:dyDescent="0.3">
      <c r="AH1681" s="7">
        <v>47.04</v>
      </c>
    </row>
    <row r="1682" spans="34:34" x14ac:dyDescent="0.3">
      <c r="AH1682" s="7">
        <v>10.94</v>
      </c>
    </row>
    <row r="1683" spans="34:34" x14ac:dyDescent="0.3">
      <c r="AH1683" s="7">
        <v>731.38</v>
      </c>
    </row>
    <row r="1684" spans="34:34" x14ac:dyDescent="0.3">
      <c r="AH1684" s="7">
        <v>344.87</v>
      </c>
    </row>
    <row r="1685" spans="34:34" x14ac:dyDescent="0.3">
      <c r="AH1685" s="7">
        <v>523.05999999999995</v>
      </c>
    </row>
    <row r="1686" spans="34:34" x14ac:dyDescent="0.3">
      <c r="AH1686" s="7">
        <v>2424.6799999999998</v>
      </c>
    </row>
    <row r="1687" spans="34:34" x14ac:dyDescent="0.3">
      <c r="AH1687" s="7">
        <v>2411.4299999999998</v>
      </c>
    </row>
    <row r="1688" spans="34:34" x14ac:dyDescent="0.3">
      <c r="AH1688" s="7">
        <v>1278.96</v>
      </c>
    </row>
    <row r="1689" spans="34:34" x14ac:dyDescent="0.3">
      <c r="AH1689" s="7">
        <v>25.22</v>
      </c>
    </row>
    <row r="1690" spans="34:34" x14ac:dyDescent="0.3">
      <c r="AH1690" s="7">
        <v>34.729999999999997</v>
      </c>
    </row>
    <row r="1691" spans="34:34" x14ac:dyDescent="0.3">
      <c r="AH1691" s="7">
        <v>247.53</v>
      </c>
    </row>
    <row r="1692" spans="34:34" x14ac:dyDescent="0.3">
      <c r="AH1692" s="7">
        <v>23.89</v>
      </c>
    </row>
    <row r="1693" spans="34:34" x14ac:dyDescent="0.3">
      <c r="AH1693" s="7">
        <v>454.4</v>
      </c>
    </row>
    <row r="1694" spans="34:34" x14ac:dyDescent="0.3">
      <c r="AH1694" s="7">
        <v>14.53</v>
      </c>
    </row>
    <row r="1695" spans="34:34" x14ac:dyDescent="0.3">
      <c r="AH1695" s="7">
        <v>15.65</v>
      </c>
    </row>
    <row r="1696" spans="34:34" x14ac:dyDescent="0.3">
      <c r="AH1696" s="7">
        <v>111.92</v>
      </c>
    </row>
    <row r="1697" spans="34:34" x14ac:dyDescent="0.3">
      <c r="AH1697" s="7">
        <v>1700.38</v>
      </c>
    </row>
    <row r="1698" spans="34:34" x14ac:dyDescent="0.3">
      <c r="AH1698" s="7">
        <v>35.96</v>
      </c>
    </row>
    <row r="1699" spans="34:34" x14ac:dyDescent="0.3">
      <c r="AH1699" s="7">
        <v>141.59</v>
      </c>
    </row>
    <row r="1700" spans="34:34" x14ac:dyDescent="0.3">
      <c r="AH1700" s="7">
        <v>203.05</v>
      </c>
    </row>
    <row r="1701" spans="34:34" x14ac:dyDescent="0.3">
      <c r="AH1701" s="7">
        <v>56.19</v>
      </c>
    </row>
    <row r="1702" spans="34:34" x14ac:dyDescent="0.3">
      <c r="AH1702" s="7">
        <v>40.799999999999997</v>
      </c>
    </row>
    <row r="1703" spans="34:34" x14ac:dyDescent="0.3">
      <c r="AH1703" s="7">
        <v>117.87</v>
      </c>
    </row>
    <row r="1704" spans="34:34" x14ac:dyDescent="0.3">
      <c r="AH1704" s="7">
        <v>1503.05</v>
      </c>
    </row>
    <row r="1705" spans="34:34" x14ac:dyDescent="0.3">
      <c r="AH1705" s="7">
        <v>382.33</v>
      </c>
    </row>
    <row r="1706" spans="34:34" x14ac:dyDescent="0.3">
      <c r="AH1706" s="7">
        <v>356.61</v>
      </c>
    </row>
    <row r="1707" spans="34:34" x14ac:dyDescent="0.3">
      <c r="AH1707" s="7">
        <v>1506.89</v>
      </c>
    </row>
    <row r="1708" spans="34:34" x14ac:dyDescent="0.3">
      <c r="AH1708" s="7">
        <v>92.29</v>
      </c>
    </row>
    <row r="1709" spans="34:34" x14ac:dyDescent="0.3">
      <c r="AH1709" s="7">
        <v>82.29</v>
      </c>
    </row>
    <row r="1710" spans="34:34" x14ac:dyDescent="0.3">
      <c r="AH1710" s="7">
        <v>203.37</v>
      </c>
    </row>
    <row r="1711" spans="34:34" x14ac:dyDescent="0.3">
      <c r="AH1711" s="7">
        <v>160.66</v>
      </c>
    </row>
    <row r="1712" spans="34:34" x14ac:dyDescent="0.3">
      <c r="AH1712" s="7">
        <v>107.08</v>
      </c>
    </row>
    <row r="1713" spans="34:34" x14ac:dyDescent="0.3">
      <c r="AH1713" s="7">
        <v>9705.4599999999991</v>
      </c>
    </row>
    <row r="1714" spans="34:34" x14ac:dyDescent="0.3">
      <c r="AH1714" s="7">
        <v>3247.54</v>
      </c>
    </row>
    <row r="1715" spans="34:34" x14ac:dyDescent="0.3">
      <c r="AH1715" s="7">
        <v>5582.63</v>
      </c>
    </row>
    <row r="1716" spans="34:34" x14ac:dyDescent="0.3">
      <c r="AH1716" s="7">
        <v>2426.36</v>
      </c>
    </row>
    <row r="1717" spans="34:34" x14ac:dyDescent="0.3">
      <c r="AH1717" s="7">
        <v>824</v>
      </c>
    </row>
    <row r="1718" spans="34:34" x14ac:dyDescent="0.3">
      <c r="AH1718" s="7">
        <v>1347.53</v>
      </c>
    </row>
    <row r="1719" spans="34:34" x14ac:dyDescent="0.3">
      <c r="AH1719" s="7">
        <v>11.16</v>
      </c>
    </row>
    <row r="1720" spans="34:34" x14ac:dyDescent="0.3">
      <c r="AH1720" s="7">
        <v>45.22</v>
      </c>
    </row>
    <row r="1721" spans="34:34" x14ac:dyDescent="0.3">
      <c r="AH1721" s="7">
        <v>52.93</v>
      </c>
    </row>
    <row r="1722" spans="34:34" x14ac:dyDescent="0.3">
      <c r="AH1722" s="7">
        <v>75.61</v>
      </c>
    </row>
    <row r="1723" spans="34:34" x14ac:dyDescent="0.3">
      <c r="AH1723" s="7">
        <v>67.64</v>
      </c>
    </row>
    <row r="1724" spans="34:34" x14ac:dyDescent="0.3">
      <c r="AH1724" s="7">
        <v>240.42</v>
      </c>
    </row>
    <row r="1725" spans="34:34" x14ac:dyDescent="0.3">
      <c r="AH1725" s="7">
        <v>184.4</v>
      </c>
    </row>
    <row r="1726" spans="34:34" x14ac:dyDescent="0.3">
      <c r="AH1726" s="7">
        <v>3802.01</v>
      </c>
    </row>
    <row r="1727" spans="34:34" x14ac:dyDescent="0.3">
      <c r="AH1727" s="7">
        <v>1181.67</v>
      </c>
    </row>
    <row r="1728" spans="34:34" x14ac:dyDescent="0.3">
      <c r="AH1728" s="7">
        <v>29.93</v>
      </c>
    </row>
    <row r="1729" spans="34:34" x14ac:dyDescent="0.3">
      <c r="AH1729" s="7">
        <v>171.33</v>
      </c>
    </row>
    <row r="1730" spans="34:34" x14ac:dyDescent="0.3">
      <c r="AH1730" s="7">
        <v>84.04</v>
      </c>
    </row>
    <row r="1731" spans="34:34" x14ac:dyDescent="0.3">
      <c r="AH1731" s="7">
        <v>251.06</v>
      </c>
    </row>
    <row r="1732" spans="34:34" x14ac:dyDescent="0.3">
      <c r="AH1732" s="7">
        <v>2610.56</v>
      </c>
    </row>
    <row r="1733" spans="34:34" x14ac:dyDescent="0.3">
      <c r="AH1733" s="7">
        <v>1173.76</v>
      </c>
    </row>
    <row r="1734" spans="34:34" x14ac:dyDescent="0.3">
      <c r="AH1734" s="7">
        <v>50.28</v>
      </c>
    </row>
    <row r="1735" spans="34:34" x14ac:dyDescent="0.3">
      <c r="AH1735" s="7">
        <v>2570.4499999999998</v>
      </c>
    </row>
    <row r="1736" spans="34:34" x14ac:dyDescent="0.3">
      <c r="AH1736" s="7">
        <v>158.87</v>
      </c>
    </row>
    <row r="1737" spans="34:34" x14ac:dyDescent="0.3">
      <c r="AH1737" s="7">
        <v>56.71</v>
      </c>
    </row>
    <row r="1738" spans="34:34" x14ac:dyDescent="0.3">
      <c r="AH1738" s="7">
        <v>5086.08</v>
      </c>
    </row>
    <row r="1739" spans="34:34" x14ac:dyDescent="0.3">
      <c r="AH1739" s="7">
        <v>1894.45</v>
      </c>
    </row>
    <row r="1740" spans="34:34" x14ac:dyDescent="0.3">
      <c r="AH1740" s="7">
        <v>200.72</v>
      </c>
    </row>
    <row r="1741" spans="34:34" x14ac:dyDescent="0.3">
      <c r="AH1741" s="7">
        <v>36.82</v>
      </c>
    </row>
    <row r="1742" spans="34:34" x14ac:dyDescent="0.3">
      <c r="AH1742" s="7">
        <v>84.6</v>
      </c>
    </row>
    <row r="1743" spans="34:34" x14ac:dyDescent="0.3">
      <c r="AH1743" s="7">
        <v>296.75</v>
      </c>
    </row>
    <row r="1744" spans="34:34" x14ac:dyDescent="0.3">
      <c r="AH1744" s="7">
        <v>582.20000000000005</v>
      </c>
    </row>
    <row r="1745" spans="34:34" x14ac:dyDescent="0.3">
      <c r="AH1745" s="7">
        <v>171.93</v>
      </c>
    </row>
    <row r="1746" spans="34:34" x14ac:dyDescent="0.3">
      <c r="AH1746" s="7">
        <v>35.19</v>
      </c>
    </row>
    <row r="1747" spans="34:34" x14ac:dyDescent="0.3">
      <c r="AH1747" s="7">
        <v>2037.69</v>
      </c>
    </row>
    <row r="1748" spans="34:34" x14ac:dyDescent="0.3">
      <c r="AH1748" s="7">
        <v>722.1</v>
      </c>
    </row>
    <row r="1749" spans="34:34" x14ac:dyDescent="0.3">
      <c r="AH1749" s="7">
        <v>140.78</v>
      </c>
    </row>
    <row r="1750" spans="34:34" x14ac:dyDescent="0.3">
      <c r="AH1750" s="7">
        <v>129.72</v>
      </c>
    </row>
    <row r="1751" spans="34:34" x14ac:dyDescent="0.3">
      <c r="AH1751" s="7">
        <v>12190.98</v>
      </c>
    </row>
    <row r="1752" spans="34:34" x14ac:dyDescent="0.3">
      <c r="AH1752" s="7">
        <v>1483.76</v>
      </c>
    </row>
    <row r="1753" spans="34:34" x14ac:dyDescent="0.3">
      <c r="AH1753" s="7">
        <v>87.18</v>
      </c>
    </row>
    <row r="1754" spans="34:34" x14ac:dyDescent="0.3">
      <c r="AH1754" s="7">
        <v>798.89</v>
      </c>
    </row>
    <row r="1755" spans="34:34" x14ac:dyDescent="0.3">
      <c r="AH1755" s="7">
        <v>133.19</v>
      </c>
    </row>
    <row r="1756" spans="34:34" x14ac:dyDescent="0.3">
      <c r="AH1756" s="7">
        <v>97.33</v>
      </c>
    </row>
    <row r="1757" spans="34:34" x14ac:dyDescent="0.3">
      <c r="AH1757" s="7">
        <v>130.91</v>
      </c>
    </row>
    <row r="1758" spans="34:34" x14ac:dyDescent="0.3">
      <c r="AH1758" s="7">
        <v>281.82</v>
      </c>
    </row>
    <row r="1759" spans="34:34" x14ac:dyDescent="0.3">
      <c r="AH1759" s="7">
        <v>991.24</v>
      </c>
    </row>
    <row r="1760" spans="34:34" x14ac:dyDescent="0.3">
      <c r="AH1760" s="7">
        <v>119.86</v>
      </c>
    </row>
    <row r="1761" spans="34:34" x14ac:dyDescent="0.3">
      <c r="AH1761" s="7">
        <v>98.77</v>
      </c>
    </row>
    <row r="1762" spans="34:34" x14ac:dyDescent="0.3">
      <c r="AH1762" s="7">
        <v>2495.35</v>
      </c>
    </row>
    <row r="1763" spans="34:34" x14ac:dyDescent="0.3">
      <c r="AH1763" s="7">
        <v>200.83</v>
      </c>
    </row>
    <row r="1764" spans="34:34" x14ac:dyDescent="0.3">
      <c r="AH1764" s="7">
        <v>348.08</v>
      </c>
    </row>
    <row r="1765" spans="34:34" x14ac:dyDescent="0.3">
      <c r="AH1765" s="7">
        <v>131.69</v>
      </c>
    </row>
    <row r="1766" spans="34:34" x14ac:dyDescent="0.3">
      <c r="AH1766" s="7">
        <v>13.93</v>
      </c>
    </row>
    <row r="1767" spans="34:34" x14ac:dyDescent="0.3">
      <c r="AH1767" s="7">
        <v>31.71</v>
      </c>
    </row>
    <row r="1768" spans="34:34" x14ac:dyDescent="0.3">
      <c r="AH1768" s="7">
        <v>60.01</v>
      </c>
    </row>
    <row r="1769" spans="34:34" x14ac:dyDescent="0.3">
      <c r="AH1769" s="7">
        <v>90.98</v>
      </c>
    </row>
    <row r="1770" spans="34:34" x14ac:dyDescent="0.3">
      <c r="AH1770" s="7">
        <v>1270.7</v>
      </c>
    </row>
    <row r="1771" spans="34:34" x14ac:dyDescent="0.3">
      <c r="AH1771" s="7">
        <v>236.87</v>
      </c>
    </row>
    <row r="1772" spans="34:34" x14ac:dyDescent="0.3">
      <c r="AH1772" s="7">
        <v>370.91</v>
      </c>
    </row>
    <row r="1773" spans="34:34" x14ac:dyDescent="0.3">
      <c r="AH1773" s="7">
        <v>4976.92</v>
      </c>
    </row>
    <row r="1774" spans="34:34" x14ac:dyDescent="0.3">
      <c r="AH1774" s="7">
        <v>574.97</v>
      </c>
    </row>
    <row r="1775" spans="34:34" x14ac:dyDescent="0.3">
      <c r="AH1775" s="7">
        <v>115.22</v>
      </c>
    </row>
    <row r="1776" spans="34:34" x14ac:dyDescent="0.3">
      <c r="AH1776" s="7">
        <v>456.58</v>
      </c>
    </row>
    <row r="1777" spans="34:34" x14ac:dyDescent="0.3">
      <c r="AH1777" s="7">
        <v>3772.19</v>
      </c>
    </row>
    <row r="1778" spans="34:34" x14ac:dyDescent="0.3">
      <c r="AH1778" s="7">
        <v>2642.48</v>
      </c>
    </row>
    <row r="1779" spans="34:34" x14ac:dyDescent="0.3">
      <c r="AH1779" s="7">
        <v>61.5</v>
      </c>
    </row>
    <row r="1780" spans="34:34" x14ac:dyDescent="0.3">
      <c r="AH1780" s="7">
        <v>1276.8800000000001</v>
      </c>
    </row>
    <row r="1781" spans="34:34" x14ac:dyDescent="0.3">
      <c r="AH1781" s="7">
        <v>233.58</v>
      </c>
    </row>
    <row r="1782" spans="34:34" x14ac:dyDescent="0.3">
      <c r="AH1782" s="7">
        <v>31.98</v>
      </c>
    </row>
    <row r="1783" spans="34:34" x14ac:dyDescent="0.3">
      <c r="AH1783" s="7">
        <v>519.41999999999996</v>
      </c>
    </row>
    <row r="1784" spans="34:34" x14ac:dyDescent="0.3">
      <c r="AH1784" s="7">
        <v>2382.7199999999998</v>
      </c>
    </row>
    <row r="1785" spans="34:34" x14ac:dyDescent="0.3">
      <c r="AH1785" s="7">
        <v>64.959999999999994</v>
      </c>
    </row>
    <row r="1786" spans="34:34" x14ac:dyDescent="0.3">
      <c r="AH1786" s="7">
        <v>19.14</v>
      </c>
    </row>
    <row r="1787" spans="34:34" x14ac:dyDescent="0.3">
      <c r="AH1787" s="7">
        <v>25.35</v>
      </c>
    </row>
    <row r="1788" spans="34:34" x14ac:dyDescent="0.3">
      <c r="AH1788" s="7">
        <v>45.03</v>
      </c>
    </row>
    <row r="1789" spans="34:34" x14ac:dyDescent="0.3">
      <c r="AH1789" s="7">
        <v>153.87</v>
      </c>
    </row>
    <row r="1790" spans="34:34" x14ac:dyDescent="0.3">
      <c r="AH1790" s="7">
        <v>2800.33</v>
      </c>
    </row>
    <row r="1791" spans="34:34" x14ac:dyDescent="0.3">
      <c r="AH1791" s="7">
        <v>3596.03</v>
      </c>
    </row>
    <row r="1792" spans="34:34" x14ac:dyDescent="0.3">
      <c r="AH1792" s="7">
        <v>2353.5500000000002</v>
      </c>
    </row>
    <row r="1793" spans="34:34" x14ac:dyDescent="0.3">
      <c r="AH1793" s="7">
        <v>92.57</v>
      </c>
    </row>
    <row r="1794" spans="34:34" x14ac:dyDescent="0.3">
      <c r="AH1794" s="7">
        <v>7974.21</v>
      </c>
    </row>
    <row r="1795" spans="34:34" x14ac:dyDescent="0.3">
      <c r="AH1795" s="7">
        <v>87.1</v>
      </c>
    </row>
    <row r="1796" spans="34:34" x14ac:dyDescent="0.3">
      <c r="AH1796" s="7">
        <v>736.86</v>
      </c>
    </row>
    <row r="1797" spans="34:34" x14ac:dyDescent="0.3">
      <c r="AH1797" s="7">
        <v>33.840000000000003</v>
      </c>
    </row>
    <row r="1798" spans="34:34" x14ac:dyDescent="0.3">
      <c r="AH1798" s="7">
        <v>14.9</v>
      </c>
    </row>
    <row r="1799" spans="34:34" x14ac:dyDescent="0.3">
      <c r="AH1799" s="7">
        <v>39.64</v>
      </c>
    </row>
    <row r="1800" spans="34:34" x14ac:dyDescent="0.3">
      <c r="AH1800" s="7">
        <v>139.49</v>
      </c>
    </row>
    <row r="1801" spans="34:34" x14ac:dyDescent="0.3">
      <c r="AH1801" s="7">
        <v>1952.43</v>
      </c>
    </row>
    <row r="1802" spans="34:34" x14ac:dyDescent="0.3">
      <c r="AH1802" s="7">
        <v>1370.79</v>
      </c>
    </row>
    <row r="1803" spans="34:34" x14ac:dyDescent="0.3">
      <c r="AH1803" s="7">
        <v>3501.79</v>
      </c>
    </row>
    <row r="1804" spans="34:34" x14ac:dyDescent="0.3">
      <c r="AH1804" s="7">
        <v>63.04</v>
      </c>
    </row>
    <row r="1805" spans="34:34" x14ac:dyDescent="0.3">
      <c r="AH1805" s="7">
        <v>451.35</v>
      </c>
    </row>
    <row r="1806" spans="34:34" x14ac:dyDescent="0.3">
      <c r="AH1806" s="7">
        <v>119.6</v>
      </c>
    </row>
    <row r="1807" spans="34:34" x14ac:dyDescent="0.3">
      <c r="AH1807" s="7">
        <v>59.9</v>
      </c>
    </row>
    <row r="1808" spans="34:34" x14ac:dyDescent="0.3">
      <c r="AH1808" s="7">
        <v>99.22</v>
      </c>
    </row>
    <row r="1809" spans="34:34" x14ac:dyDescent="0.3">
      <c r="AH1809" s="7">
        <v>1183.82</v>
      </c>
    </row>
    <row r="1810" spans="34:34" x14ac:dyDescent="0.3">
      <c r="AH1810" s="7">
        <v>201.77</v>
      </c>
    </row>
    <row r="1811" spans="34:34" x14ac:dyDescent="0.3">
      <c r="AH1811" s="7">
        <v>443.66</v>
      </c>
    </row>
    <row r="1812" spans="34:34" x14ac:dyDescent="0.3">
      <c r="AH1812" s="7">
        <v>541.76</v>
      </c>
    </row>
    <row r="1813" spans="34:34" x14ac:dyDescent="0.3">
      <c r="AH1813" s="7">
        <v>107.66</v>
      </c>
    </row>
    <row r="1814" spans="34:34" x14ac:dyDescent="0.3">
      <c r="AH1814" s="7">
        <v>318.83</v>
      </c>
    </row>
    <row r="1815" spans="34:34" x14ac:dyDescent="0.3">
      <c r="AH1815" s="7">
        <v>3600.65</v>
      </c>
    </row>
    <row r="1816" spans="34:34" x14ac:dyDescent="0.3">
      <c r="AH1816" s="7">
        <v>3936.61</v>
      </c>
    </row>
    <row r="1817" spans="34:34" x14ac:dyDescent="0.3">
      <c r="AH1817" s="7">
        <v>78.31</v>
      </c>
    </row>
    <row r="1818" spans="34:34" x14ac:dyDescent="0.3">
      <c r="AH1818" s="7">
        <v>42.46</v>
      </c>
    </row>
    <row r="1819" spans="34:34" x14ac:dyDescent="0.3">
      <c r="AH1819" s="7">
        <v>14.66</v>
      </c>
    </row>
    <row r="1820" spans="34:34" x14ac:dyDescent="0.3">
      <c r="AH1820" s="7">
        <v>83.14</v>
      </c>
    </row>
    <row r="1821" spans="34:34" x14ac:dyDescent="0.3">
      <c r="AH1821" s="7">
        <v>215.25</v>
      </c>
    </row>
    <row r="1822" spans="34:34" x14ac:dyDescent="0.3">
      <c r="AH1822" s="7">
        <v>1358.02</v>
      </c>
    </row>
    <row r="1823" spans="34:34" x14ac:dyDescent="0.3">
      <c r="AH1823" s="7">
        <v>358.84</v>
      </c>
    </row>
    <row r="1824" spans="34:34" x14ac:dyDescent="0.3">
      <c r="AH1824" s="7">
        <v>511.57</v>
      </c>
    </row>
    <row r="1825" spans="34:34" x14ac:dyDescent="0.3">
      <c r="AH1825" s="7">
        <v>8.65</v>
      </c>
    </row>
    <row r="1826" spans="34:34" x14ac:dyDescent="0.3">
      <c r="AH1826" s="7">
        <v>380</v>
      </c>
    </row>
    <row r="1827" spans="34:34" x14ac:dyDescent="0.3">
      <c r="AH1827" s="7">
        <v>199.48</v>
      </c>
    </row>
    <row r="1828" spans="34:34" x14ac:dyDescent="0.3">
      <c r="AH1828" s="7">
        <v>93.81</v>
      </c>
    </row>
    <row r="1829" spans="34:34" x14ac:dyDescent="0.3">
      <c r="AH1829" s="7">
        <v>312.22000000000003</v>
      </c>
    </row>
    <row r="1830" spans="34:34" x14ac:dyDescent="0.3">
      <c r="AH1830" s="7">
        <v>43.84</v>
      </c>
    </row>
    <row r="1831" spans="34:34" x14ac:dyDescent="0.3">
      <c r="AH1831" s="7">
        <v>141.74</v>
      </c>
    </row>
    <row r="1832" spans="34:34" x14ac:dyDescent="0.3">
      <c r="AH1832" s="7">
        <v>8717.75</v>
      </c>
    </row>
    <row r="1833" spans="34:34" x14ac:dyDescent="0.3">
      <c r="AH1833" s="7">
        <v>2230.12</v>
      </c>
    </row>
    <row r="1834" spans="34:34" x14ac:dyDescent="0.3">
      <c r="AH1834" s="7">
        <v>56.4</v>
      </c>
    </row>
    <row r="1835" spans="34:34" x14ac:dyDescent="0.3">
      <c r="AH1835" s="7">
        <v>257.52</v>
      </c>
    </row>
    <row r="1836" spans="34:34" x14ac:dyDescent="0.3">
      <c r="AH1836" s="7">
        <v>1488.51</v>
      </c>
    </row>
    <row r="1837" spans="34:34" x14ac:dyDescent="0.3">
      <c r="AH1837" s="7">
        <v>801.93</v>
      </c>
    </row>
    <row r="1838" spans="34:34" x14ac:dyDescent="0.3">
      <c r="AH1838" s="7">
        <v>44.24</v>
      </c>
    </row>
    <row r="1839" spans="34:34" x14ac:dyDescent="0.3">
      <c r="AH1839" s="7">
        <v>79.739999999999995</v>
      </c>
    </row>
    <row r="1840" spans="34:34" x14ac:dyDescent="0.3">
      <c r="AH1840" s="7">
        <v>392.45</v>
      </c>
    </row>
    <row r="1841" spans="34:34" x14ac:dyDescent="0.3">
      <c r="AH1841" s="7">
        <v>48.32</v>
      </c>
    </row>
    <row r="1842" spans="34:34" x14ac:dyDescent="0.3">
      <c r="AH1842" s="7">
        <v>332.16</v>
      </c>
    </row>
    <row r="1843" spans="34:34" x14ac:dyDescent="0.3">
      <c r="AH1843" s="7">
        <v>147.62</v>
      </c>
    </row>
    <row r="1844" spans="34:34" x14ac:dyDescent="0.3">
      <c r="AH1844" s="7">
        <v>125.9</v>
      </c>
    </row>
    <row r="1845" spans="34:34" x14ac:dyDescent="0.3">
      <c r="AH1845" s="7">
        <v>768.81</v>
      </c>
    </row>
    <row r="1846" spans="34:34" x14ac:dyDescent="0.3">
      <c r="AH1846" s="7">
        <v>183.39</v>
      </c>
    </row>
    <row r="1847" spans="34:34" x14ac:dyDescent="0.3">
      <c r="AH1847" s="7">
        <v>12.9</v>
      </c>
    </row>
    <row r="1848" spans="34:34" x14ac:dyDescent="0.3">
      <c r="AH1848" s="7">
        <v>17.89</v>
      </c>
    </row>
    <row r="1849" spans="34:34" x14ac:dyDescent="0.3">
      <c r="AH1849" s="7">
        <v>255.88</v>
      </c>
    </row>
    <row r="1850" spans="34:34" x14ac:dyDescent="0.3">
      <c r="AH1850" s="7">
        <v>378.82</v>
      </c>
    </row>
    <row r="1851" spans="34:34" x14ac:dyDescent="0.3">
      <c r="AH1851" s="7">
        <v>152.18</v>
      </c>
    </row>
    <row r="1852" spans="34:34" x14ac:dyDescent="0.3">
      <c r="AH1852" s="7">
        <v>53.89</v>
      </c>
    </row>
    <row r="1853" spans="34:34" x14ac:dyDescent="0.3">
      <c r="AH1853" s="7">
        <v>1001.02</v>
      </c>
    </row>
    <row r="1854" spans="34:34" x14ac:dyDescent="0.3">
      <c r="AH1854" s="7">
        <v>495.82</v>
      </c>
    </row>
    <row r="1855" spans="34:34" x14ac:dyDescent="0.3">
      <c r="AH1855" s="7">
        <v>24.44</v>
      </c>
    </row>
    <row r="1856" spans="34:34" x14ac:dyDescent="0.3">
      <c r="AH1856" s="7">
        <v>21.86</v>
      </c>
    </row>
    <row r="1857" spans="34:34" x14ac:dyDescent="0.3">
      <c r="AH1857" s="7">
        <v>47.12</v>
      </c>
    </row>
    <row r="1858" spans="34:34" x14ac:dyDescent="0.3">
      <c r="AH1858" s="7">
        <v>670.9</v>
      </c>
    </row>
    <row r="1859" spans="34:34" x14ac:dyDescent="0.3">
      <c r="AH1859" s="7">
        <v>412.72</v>
      </c>
    </row>
    <row r="1860" spans="34:34" x14ac:dyDescent="0.3">
      <c r="AH1860" s="7">
        <v>14.52</v>
      </c>
    </row>
    <row r="1861" spans="34:34" x14ac:dyDescent="0.3">
      <c r="AH1861" s="7">
        <v>103.18</v>
      </c>
    </row>
    <row r="1862" spans="34:34" x14ac:dyDescent="0.3">
      <c r="AH1862" s="7">
        <v>97.96</v>
      </c>
    </row>
    <row r="1863" spans="34:34" x14ac:dyDescent="0.3">
      <c r="AH1863" s="7">
        <v>5419.41</v>
      </c>
    </row>
    <row r="1864" spans="34:34" x14ac:dyDescent="0.3">
      <c r="AH1864" s="7">
        <v>700.41</v>
      </c>
    </row>
    <row r="1865" spans="34:34" x14ac:dyDescent="0.3">
      <c r="AH1865" s="7">
        <v>646.88</v>
      </c>
    </row>
    <row r="1866" spans="34:34" x14ac:dyDescent="0.3">
      <c r="AH1866" s="7">
        <v>1029.96</v>
      </c>
    </row>
    <row r="1867" spans="34:34" x14ac:dyDescent="0.3">
      <c r="AH1867" s="7">
        <v>52.09</v>
      </c>
    </row>
    <row r="1868" spans="34:34" x14ac:dyDescent="0.3">
      <c r="AH1868" s="7">
        <v>1794.88</v>
      </c>
    </row>
    <row r="1869" spans="34:34" x14ac:dyDescent="0.3">
      <c r="AH1869" s="7">
        <v>765.04</v>
      </c>
    </row>
    <row r="1870" spans="34:34" x14ac:dyDescent="0.3">
      <c r="AH1870" s="7">
        <v>127.12</v>
      </c>
    </row>
    <row r="1871" spans="34:34" x14ac:dyDescent="0.3">
      <c r="AH1871" s="7">
        <v>5183.8900000000003</v>
      </c>
    </row>
    <row r="1872" spans="34:34" x14ac:dyDescent="0.3">
      <c r="AH1872" s="7">
        <v>36.090000000000003</v>
      </c>
    </row>
    <row r="1873" spans="34:34" x14ac:dyDescent="0.3">
      <c r="AH1873" s="7">
        <v>366.26</v>
      </c>
    </row>
    <row r="1874" spans="34:34" x14ac:dyDescent="0.3">
      <c r="AH1874" s="7">
        <v>157.99</v>
      </c>
    </row>
    <row r="1875" spans="34:34" x14ac:dyDescent="0.3">
      <c r="AH1875" s="7">
        <v>1212.8800000000001</v>
      </c>
    </row>
    <row r="1876" spans="34:34" x14ac:dyDescent="0.3">
      <c r="AH1876" s="7">
        <v>125.19</v>
      </c>
    </row>
    <row r="1877" spans="34:34" x14ac:dyDescent="0.3">
      <c r="AH1877" s="7">
        <v>1867.04</v>
      </c>
    </row>
    <row r="1878" spans="34:34" x14ac:dyDescent="0.3">
      <c r="AH1878" s="7">
        <v>537.79999999999995</v>
      </c>
    </row>
    <row r="1879" spans="34:34" x14ac:dyDescent="0.3">
      <c r="AH1879" s="7">
        <v>119.78</v>
      </c>
    </row>
    <row r="1880" spans="34:34" x14ac:dyDescent="0.3">
      <c r="AH1880" s="7">
        <v>12.15</v>
      </c>
    </row>
    <row r="1881" spans="34:34" x14ac:dyDescent="0.3">
      <c r="AH1881" s="7">
        <v>288.42</v>
      </c>
    </row>
    <row r="1882" spans="34:34" x14ac:dyDescent="0.3">
      <c r="AH1882" s="7">
        <v>511.42</v>
      </c>
    </row>
    <row r="1883" spans="34:34" x14ac:dyDescent="0.3">
      <c r="AH1883" s="7">
        <v>200.64</v>
      </c>
    </row>
    <row r="1884" spans="34:34" x14ac:dyDescent="0.3">
      <c r="AH1884" s="7">
        <v>17.62</v>
      </c>
    </row>
    <row r="1885" spans="34:34" x14ac:dyDescent="0.3">
      <c r="AH1885" s="7">
        <v>80.58</v>
      </c>
    </row>
    <row r="1886" spans="34:34" x14ac:dyDescent="0.3">
      <c r="AH1886" s="7">
        <v>25.31</v>
      </c>
    </row>
    <row r="1887" spans="34:34" x14ac:dyDescent="0.3">
      <c r="AH1887" s="7">
        <v>369.78</v>
      </c>
    </row>
    <row r="1888" spans="34:34" x14ac:dyDescent="0.3">
      <c r="AH1888" s="7">
        <v>57.14</v>
      </c>
    </row>
    <row r="1889" spans="34:34" x14ac:dyDescent="0.3">
      <c r="AH1889" s="7">
        <v>498.31</v>
      </c>
    </row>
    <row r="1890" spans="34:34" x14ac:dyDescent="0.3">
      <c r="AH1890" s="7">
        <v>431.43</v>
      </c>
    </row>
    <row r="1891" spans="34:34" x14ac:dyDescent="0.3">
      <c r="AH1891" s="7">
        <v>57.24</v>
      </c>
    </row>
    <row r="1892" spans="34:34" x14ac:dyDescent="0.3">
      <c r="AH1892" s="7">
        <v>824.7</v>
      </c>
    </row>
    <row r="1893" spans="34:34" x14ac:dyDescent="0.3">
      <c r="AH1893" s="7">
        <v>58.5</v>
      </c>
    </row>
    <row r="1894" spans="34:34" x14ac:dyDescent="0.3">
      <c r="AH1894" s="7">
        <v>131.62</v>
      </c>
    </row>
    <row r="1895" spans="34:34" x14ac:dyDescent="0.3">
      <c r="AH1895" s="7">
        <v>121.46</v>
      </c>
    </row>
    <row r="1896" spans="34:34" x14ac:dyDescent="0.3">
      <c r="AH1896" s="7">
        <v>356.14</v>
      </c>
    </row>
    <row r="1897" spans="34:34" x14ac:dyDescent="0.3">
      <c r="AH1897" s="7">
        <v>27.08</v>
      </c>
    </row>
    <row r="1898" spans="34:34" x14ac:dyDescent="0.3">
      <c r="AH1898" s="7">
        <v>65.849999999999994</v>
      </c>
    </row>
    <row r="1899" spans="34:34" x14ac:dyDescent="0.3">
      <c r="AH1899" s="7">
        <v>50.71</v>
      </c>
    </row>
    <row r="1900" spans="34:34" x14ac:dyDescent="0.3">
      <c r="AH1900" s="7">
        <v>45</v>
      </c>
    </row>
    <row r="1901" spans="34:34" x14ac:dyDescent="0.3">
      <c r="AH1901" s="7">
        <v>19.02</v>
      </c>
    </row>
    <row r="1902" spans="34:34" x14ac:dyDescent="0.3">
      <c r="AH1902" s="7">
        <v>193.87</v>
      </c>
    </row>
    <row r="1903" spans="34:34" x14ac:dyDescent="0.3">
      <c r="AH1903" s="7">
        <v>1434.51</v>
      </c>
    </row>
    <row r="1904" spans="34:34" x14ac:dyDescent="0.3">
      <c r="AH1904" s="7">
        <v>8549.0400000000009</v>
      </c>
    </row>
    <row r="1905" spans="34:34" x14ac:dyDescent="0.3">
      <c r="AH1905" s="7">
        <v>2239.0300000000002</v>
      </c>
    </row>
    <row r="1906" spans="34:34" x14ac:dyDescent="0.3">
      <c r="AH1906" s="7">
        <v>22.13</v>
      </c>
    </row>
    <row r="1907" spans="34:34" x14ac:dyDescent="0.3">
      <c r="AH1907" s="7">
        <v>34.17</v>
      </c>
    </row>
    <row r="1908" spans="34:34" x14ac:dyDescent="0.3">
      <c r="AH1908" s="7">
        <v>94.3</v>
      </c>
    </row>
    <row r="1909" spans="34:34" x14ac:dyDescent="0.3">
      <c r="AH1909" s="7">
        <v>384.22</v>
      </c>
    </row>
    <row r="1910" spans="34:34" x14ac:dyDescent="0.3">
      <c r="AH1910" s="7">
        <v>178.68</v>
      </c>
    </row>
    <row r="1911" spans="34:34" x14ac:dyDescent="0.3">
      <c r="AH1911" s="7">
        <v>79.39</v>
      </c>
    </row>
    <row r="1912" spans="34:34" x14ac:dyDescent="0.3">
      <c r="AH1912" s="7">
        <v>199.53</v>
      </c>
    </row>
    <row r="1913" spans="34:34" x14ac:dyDescent="0.3">
      <c r="AH1913" s="7">
        <v>37.049999999999997</v>
      </c>
    </row>
    <row r="1914" spans="34:34" x14ac:dyDescent="0.3">
      <c r="AH1914" s="7">
        <v>68.88</v>
      </c>
    </row>
    <row r="1915" spans="34:34" x14ac:dyDescent="0.3">
      <c r="AH1915" s="7">
        <v>549.85</v>
      </c>
    </row>
    <row r="1916" spans="34:34" x14ac:dyDescent="0.3">
      <c r="AH1916" s="7">
        <v>48.99</v>
      </c>
    </row>
    <row r="1917" spans="34:34" x14ac:dyDescent="0.3">
      <c r="AH1917" s="7">
        <v>681.42</v>
      </c>
    </row>
    <row r="1918" spans="34:34" x14ac:dyDescent="0.3">
      <c r="AH1918" s="7">
        <v>66.650000000000006</v>
      </c>
    </row>
    <row r="1919" spans="34:34" x14ac:dyDescent="0.3">
      <c r="AH1919" s="7">
        <v>2934.16</v>
      </c>
    </row>
    <row r="1920" spans="34:34" x14ac:dyDescent="0.3">
      <c r="AH1920" s="7">
        <v>876.88</v>
      </c>
    </row>
    <row r="1921" spans="34:34" x14ac:dyDescent="0.3">
      <c r="AH1921" s="7">
        <v>157.33000000000001</v>
      </c>
    </row>
    <row r="1922" spans="34:34" x14ac:dyDescent="0.3">
      <c r="AH1922" s="7">
        <v>27.37</v>
      </c>
    </row>
    <row r="1923" spans="34:34" x14ac:dyDescent="0.3">
      <c r="AH1923" s="7">
        <v>98.16</v>
      </c>
    </row>
    <row r="1924" spans="34:34" x14ac:dyDescent="0.3">
      <c r="AH1924" s="7">
        <v>116.11</v>
      </c>
    </row>
    <row r="1925" spans="34:34" x14ac:dyDescent="0.3">
      <c r="AH1925" s="7">
        <v>95</v>
      </c>
    </row>
    <row r="1926" spans="34:34" x14ac:dyDescent="0.3">
      <c r="AH1926" s="7">
        <v>837.57</v>
      </c>
    </row>
    <row r="1927" spans="34:34" x14ac:dyDescent="0.3">
      <c r="AH1927" s="7">
        <v>56.22</v>
      </c>
    </row>
    <row r="1928" spans="34:34" x14ac:dyDescent="0.3">
      <c r="AH1928" s="7">
        <v>758.97</v>
      </c>
    </row>
    <row r="1929" spans="34:34" x14ac:dyDescent="0.3">
      <c r="AH1929" s="7">
        <v>84.44</v>
      </c>
    </row>
    <row r="1930" spans="34:34" x14ac:dyDescent="0.3">
      <c r="AH1930" s="7">
        <v>29.99</v>
      </c>
    </row>
    <row r="1931" spans="34:34" x14ac:dyDescent="0.3">
      <c r="AH1931" s="7">
        <v>1487.9</v>
      </c>
    </row>
    <row r="1932" spans="34:34" x14ac:dyDescent="0.3">
      <c r="AH1932" s="7">
        <v>600.4</v>
      </c>
    </row>
    <row r="1933" spans="34:34" x14ac:dyDescent="0.3">
      <c r="AH1933" s="7">
        <v>34.25</v>
      </c>
    </row>
    <row r="1934" spans="34:34" x14ac:dyDescent="0.3">
      <c r="AH1934" s="7">
        <v>31.45</v>
      </c>
    </row>
    <row r="1935" spans="34:34" x14ac:dyDescent="0.3">
      <c r="AH1935" s="7">
        <v>249.07</v>
      </c>
    </row>
    <row r="1936" spans="34:34" x14ac:dyDescent="0.3">
      <c r="AH1936" s="7">
        <v>59.22</v>
      </c>
    </row>
    <row r="1937" spans="34:34" x14ac:dyDescent="0.3">
      <c r="AH1937" s="7">
        <v>5572.18</v>
      </c>
    </row>
    <row r="1938" spans="34:34" x14ac:dyDescent="0.3">
      <c r="AH1938" s="7">
        <v>2941.42</v>
      </c>
    </row>
    <row r="1939" spans="34:34" x14ac:dyDescent="0.3">
      <c r="AH1939" s="7">
        <v>522.46</v>
      </c>
    </row>
    <row r="1940" spans="34:34" x14ac:dyDescent="0.3">
      <c r="AH1940" s="7">
        <v>25.31</v>
      </c>
    </row>
    <row r="1941" spans="34:34" x14ac:dyDescent="0.3">
      <c r="AH1941" s="7">
        <v>513.33000000000004</v>
      </c>
    </row>
    <row r="1942" spans="34:34" x14ac:dyDescent="0.3">
      <c r="AH1942" s="7">
        <v>15.7</v>
      </c>
    </row>
    <row r="1943" spans="34:34" x14ac:dyDescent="0.3">
      <c r="AH1943" s="7">
        <v>680.65</v>
      </c>
    </row>
    <row r="1944" spans="34:34" x14ac:dyDescent="0.3">
      <c r="AH1944" s="7">
        <v>28.34</v>
      </c>
    </row>
    <row r="1945" spans="34:34" x14ac:dyDescent="0.3">
      <c r="AH1945" s="7">
        <v>861.3</v>
      </c>
    </row>
    <row r="1946" spans="34:34" x14ac:dyDescent="0.3">
      <c r="AH1946" s="7">
        <v>894.64</v>
      </c>
    </row>
    <row r="1947" spans="34:34" x14ac:dyDescent="0.3">
      <c r="AH1947" s="7">
        <v>710.36</v>
      </c>
    </row>
    <row r="1948" spans="34:34" x14ac:dyDescent="0.3">
      <c r="AH1948" s="7">
        <v>80.2</v>
      </c>
    </row>
    <row r="1949" spans="34:34" x14ac:dyDescent="0.3">
      <c r="AH1949" s="7">
        <v>9252.81</v>
      </c>
    </row>
    <row r="1950" spans="34:34" x14ac:dyDescent="0.3">
      <c r="AH1950" s="7">
        <v>207.31</v>
      </c>
    </row>
    <row r="1951" spans="34:34" x14ac:dyDescent="0.3">
      <c r="AH1951" s="7">
        <v>143.12</v>
      </c>
    </row>
    <row r="1952" spans="34:34" x14ac:dyDescent="0.3">
      <c r="AH1952" s="7">
        <v>59.98</v>
      </c>
    </row>
    <row r="1953" spans="34:34" x14ac:dyDescent="0.3">
      <c r="AH1953" s="7">
        <v>135.78</v>
      </c>
    </row>
    <row r="1954" spans="34:34" x14ac:dyDescent="0.3">
      <c r="AH1954" s="7">
        <v>506.5</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86BF9-01C9-45CE-8040-928F4205CB19}">
  <dimension ref="D4:D5"/>
  <sheetViews>
    <sheetView tabSelected="1" topLeftCell="A5" zoomScale="54" workbookViewId="0">
      <selection activeCell="AI35" sqref="AI35"/>
    </sheetView>
  </sheetViews>
  <sheetFormatPr defaultRowHeight="14.4" x14ac:dyDescent="0.3"/>
  <sheetData>
    <row r="4" spans="4:4" x14ac:dyDescent="0.3">
      <c r="D4" s="1" t="s">
        <v>0</v>
      </c>
    </row>
    <row r="5" spans="4:4" x14ac:dyDescent="0.3">
      <c r="D5" s="1" t="s">
        <v>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70C6B7FD-E5FF-4725-B3E0-E24F79B5E57E}">
  <ds:schemaRefs/>
</ds:datastoreItem>
</file>

<file path=customXml/itemProps2.xml><?xml version="1.0" encoding="utf-8"?>
<ds:datastoreItem xmlns:ds="http://schemas.openxmlformats.org/officeDocument/2006/customXml" ds:itemID="{278A7B20-4704-4B77-978B-D405BE2AAC14}">
  <ds:schemaRefs/>
</ds:datastoreItem>
</file>

<file path=customXml/itemProps3.xml><?xml version="1.0" encoding="utf-8"?>
<ds:datastoreItem xmlns:ds="http://schemas.openxmlformats.org/officeDocument/2006/customXml" ds:itemID="{2E850E62-901F-4410-BD49-C8EBBFFD30F7}">
  <ds:schemaRefs/>
</ds:datastoreItem>
</file>

<file path=customXml/itemProps4.xml><?xml version="1.0" encoding="utf-8"?>
<ds:datastoreItem xmlns:ds="http://schemas.openxmlformats.org/officeDocument/2006/customXml" ds:itemID="{BE7E9B29-849D-4B0F-83AF-C1AA043515A2}">
  <ds:schemaRefs/>
</ds:datastoreItem>
</file>

<file path=customXml/itemProps5.xml><?xml version="1.0" encoding="utf-8"?>
<ds:datastoreItem xmlns:ds="http://schemas.openxmlformats.org/officeDocument/2006/customXml" ds:itemID="{D4DAFCAF-53CF-471D-AFA9-87EEABD2D8BB}">
  <ds:schemaRefs/>
</ds:datastoreItem>
</file>

<file path=customXml/itemProps6.xml><?xml version="1.0" encoding="utf-8"?>
<ds:datastoreItem xmlns:ds="http://schemas.openxmlformats.org/officeDocument/2006/customXml" ds:itemID="{2EC080FD-B3A4-4575-A144-BBDAADE2D9D5}">
  <ds:schemaRefs/>
</ds:datastoreItem>
</file>

<file path=customXml/itemProps7.xml><?xml version="1.0" encoding="utf-8"?>
<ds:datastoreItem xmlns:ds="http://schemas.openxmlformats.org/officeDocument/2006/customXml" ds:itemID="{9DAB36FE-75B0-4660-AAA3-FB6F2152030B}">
  <ds:schemaRefs/>
</ds:datastoreItem>
</file>

<file path=customXml/itemProps8.xml><?xml version="1.0" encoding="utf-8"?>
<ds:datastoreItem xmlns:ds="http://schemas.openxmlformats.org/officeDocument/2006/customXml" ds:itemID="{FD76DE83-3203-49A1-ADF3-EA28BD4F8ED3}">
  <ds:schemaRefs/>
</ds:datastoreItem>
</file>

<file path=customXml/itemProps9.xml><?xml version="1.0" encoding="utf-8"?>
<ds:datastoreItem xmlns:ds="http://schemas.openxmlformats.org/officeDocument/2006/customXml" ds:itemID="{6CB2A4B6-C3C0-4820-994A-19B6445D242E}">
  <ds:schemaRefs/>
</ds:datastoreItem>
</file>

<file path=customXml/itemProps10.xml><?xml version="1.0" encoding="utf-8"?>
<ds:datastoreItem xmlns:ds="http://schemas.openxmlformats.org/officeDocument/2006/customXml" ds:itemID="{F0C0F7C8-9C9F-4F6A-A377-2EB825C58B63}">
  <ds:schemaRefs/>
</ds:datastoreItem>
</file>

<file path=customXml/itemProps11.xml><?xml version="1.0" encoding="utf-8"?>
<ds:datastoreItem xmlns:ds="http://schemas.openxmlformats.org/officeDocument/2006/customXml" ds:itemID="{8F6ED96C-7868-43BB-A855-452877002039}">
  <ds:schemaRefs/>
</ds:datastoreItem>
</file>

<file path=customXml/itemProps12.xml><?xml version="1.0" encoding="utf-8"?>
<ds:datastoreItem xmlns:ds="http://schemas.openxmlformats.org/officeDocument/2006/customXml" ds:itemID="{F13265DE-69A8-44CB-AC50-92D33385F60D}">
  <ds:schemaRefs/>
</ds:datastoreItem>
</file>

<file path=customXml/itemProps13.xml><?xml version="1.0" encoding="utf-8"?>
<ds:datastoreItem xmlns:ds="http://schemas.openxmlformats.org/officeDocument/2006/customXml" ds:itemID="{5B96176B-291C-4D35-A6B9-6A9686F211B5}">
  <ds:schemaRefs>
    <ds:schemaRef ds:uri="http://schemas.microsoft.com/DataMashup"/>
  </ds:schemaRefs>
</ds:datastoreItem>
</file>

<file path=customXml/itemProps14.xml><?xml version="1.0" encoding="utf-8"?>
<ds:datastoreItem xmlns:ds="http://schemas.openxmlformats.org/officeDocument/2006/customXml" ds:itemID="{283662B3-2C02-41B9-B3FF-07439E964950}">
  <ds:schemaRefs/>
</ds:datastoreItem>
</file>

<file path=customXml/itemProps15.xml><?xml version="1.0" encoding="utf-8"?>
<ds:datastoreItem xmlns:ds="http://schemas.openxmlformats.org/officeDocument/2006/customXml" ds:itemID="{FDBA7ADD-BA3A-4536-8081-4C04D9093496}">
  <ds:schemaRefs/>
</ds:datastoreItem>
</file>

<file path=customXml/itemProps16.xml><?xml version="1.0" encoding="utf-8"?>
<ds:datastoreItem xmlns:ds="http://schemas.openxmlformats.org/officeDocument/2006/customXml" ds:itemID="{2B99A443-D3E6-4A85-A4EA-AE617D2FDA82}">
  <ds:schemaRefs/>
</ds:datastoreItem>
</file>

<file path=customXml/itemProps17.xml><?xml version="1.0" encoding="utf-8"?>
<ds:datastoreItem xmlns:ds="http://schemas.openxmlformats.org/officeDocument/2006/customXml" ds:itemID="{C543B45B-480E-4A62-93ED-BE34422CC1E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Shaguftha Fathima</dc:creator>
  <cp:lastModifiedBy>lokesh gudimetla</cp:lastModifiedBy>
  <dcterms:created xsi:type="dcterms:W3CDTF">2025-11-03T09:31:08Z</dcterms:created>
  <dcterms:modified xsi:type="dcterms:W3CDTF">2025-12-03T17:59:53Z</dcterms:modified>
</cp:coreProperties>
</file>