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whitescholar\Excel Project\Excel Project WS\"/>
    </mc:Choice>
  </mc:AlternateContent>
  <xr:revisionPtr revIDLastSave="0" documentId="13_ncr:1_{AF472EB9-076F-45E9-95D5-B845CE9749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K7" i="2" l="1"/>
  <c r="J7" i="2"/>
  <c r="I7" i="2"/>
  <c r="O10" i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O11" i="1"/>
  <c r="N11" i="1"/>
  <c r="N10" i="1"/>
</calcChain>
</file>

<file path=xl/sharedStrings.xml><?xml version="1.0" encoding="utf-8"?>
<sst xmlns="http://schemas.openxmlformats.org/spreadsheetml/2006/main" count="480" uniqueCount="110">
  <si>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</si>
  <si>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</si>
  <si>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</si>
  <si>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</si>
  <si>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</si>
  <si>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</si>
  <si>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</si>
  <si>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</si>
  <si>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Female</t>
  </si>
  <si>
    <t>Married</t>
  </si>
  <si>
    <t>FLM</t>
  </si>
  <si>
    <t>North</t>
  </si>
  <si>
    <t>Single</t>
  </si>
  <si>
    <t>Digital Marketing</t>
  </si>
  <si>
    <t>Figure out who has the Max and Min Salary</t>
  </si>
  <si>
    <t>Male</t>
  </si>
  <si>
    <t>Inside Sales</t>
  </si>
  <si>
    <t>South</t>
  </si>
  <si>
    <t>Marketing</t>
  </si>
  <si>
    <t>Name of Employees, who have</t>
  </si>
  <si>
    <t>First Name</t>
  </si>
  <si>
    <t>Director</t>
  </si>
  <si>
    <t>Max Salary</t>
  </si>
  <si>
    <t>Desai</t>
  </si>
  <si>
    <t>Learning &amp; Development</t>
  </si>
  <si>
    <t>Mid West</t>
  </si>
  <si>
    <t>Min Salary</t>
  </si>
  <si>
    <t>East</t>
  </si>
  <si>
    <t>CEO</t>
  </si>
  <si>
    <t>CCD</t>
  </si>
  <si>
    <t>Operations</t>
  </si>
  <si>
    <t>Finance</t>
  </si>
  <si>
    <t>Sales</t>
  </si>
  <si>
    <t>Get Region, Department and Salary of all Employees from Sheet "Source"</t>
  </si>
  <si>
    <t>*Use Name Range and Vlookup with Match Function</t>
  </si>
  <si>
    <t>D_Code</t>
  </si>
  <si>
    <t>Aiden</t>
  </si>
  <si>
    <t>Clarke</t>
  </si>
  <si>
    <t>Maya</t>
  </si>
  <si>
    <t>Bennett</t>
  </si>
  <si>
    <t>Rohan</t>
  </si>
  <si>
    <t>Kiara</t>
  </si>
  <si>
    <t>Sullivan</t>
  </si>
  <si>
    <t>Ethan</t>
  </si>
  <si>
    <t>Brooks</t>
  </si>
  <si>
    <t>Sarah</t>
  </si>
  <si>
    <t>Whitman</t>
  </si>
  <si>
    <t>Liam</t>
  </si>
  <si>
    <t>Turner</t>
  </si>
  <si>
    <t>Priya</t>
  </si>
  <si>
    <t>Nair</t>
  </si>
  <si>
    <t>Daniel</t>
  </si>
  <si>
    <t>Harper</t>
  </si>
  <si>
    <t>Zoe</t>
  </si>
  <si>
    <t>Mitchell</t>
  </si>
  <si>
    <t>Arjun</t>
  </si>
  <si>
    <t>Mehta</t>
  </si>
  <si>
    <t>Layla</t>
  </si>
  <si>
    <t>Anderson</t>
  </si>
  <si>
    <t>Isaac</t>
  </si>
  <si>
    <t>Reid</t>
  </si>
  <si>
    <t>Emily</t>
  </si>
  <si>
    <t>Carter</t>
  </si>
  <si>
    <t>Noah</t>
  </si>
  <si>
    <t>Phillips</t>
  </si>
  <si>
    <t>Tara</t>
  </si>
  <si>
    <t>Iyer</t>
  </si>
  <si>
    <t>Jacob</t>
  </si>
  <si>
    <t>Foster</t>
  </si>
  <si>
    <t>Mira</t>
  </si>
  <si>
    <t>Kapoor</t>
  </si>
  <si>
    <t>Lucas</t>
  </si>
  <si>
    <t>Grant</t>
  </si>
  <si>
    <t>Jenna</t>
  </si>
  <si>
    <t>Lawson</t>
  </si>
  <si>
    <t>Ryan</t>
  </si>
  <si>
    <t>Patel</t>
  </si>
  <si>
    <t>Chloe</t>
  </si>
  <si>
    <t>Simmons</t>
  </si>
  <si>
    <t>Nathan</t>
  </si>
  <si>
    <t>Hayes</t>
  </si>
  <si>
    <t>Riya</t>
  </si>
  <si>
    <t>Sharma</t>
  </si>
  <si>
    <t>Adam</t>
  </si>
  <si>
    <t>Russell</t>
  </si>
  <si>
    <t>Sofia</t>
  </si>
  <si>
    <t>Blake</t>
  </si>
  <si>
    <t>Karan</t>
  </si>
  <si>
    <t>Malhotra</t>
  </si>
  <si>
    <t>Nina</t>
  </si>
  <si>
    <t>Douglas</t>
  </si>
  <si>
    <t>Oliver</t>
  </si>
  <si>
    <t>Ava</t>
  </si>
  <si>
    <t>Morgan</t>
  </si>
  <si>
    <t>Vihaan</t>
  </si>
  <si>
    <t>Reddy</t>
  </si>
  <si>
    <t>Collins</t>
  </si>
  <si>
    <t>Jayden</t>
  </si>
  <si>
    <t>Scott</t>
  </si>
  <si>
    <t>Elina</t>
  </si>
  <si>
    <t>Joseph</t>
  </si>
  <si>
    <t>Dhruv</t>
  </si>
  <si>
    <t>Bhatia</t>
  </si>
  <si>
    <t>Stella</t>
  </si>
  <si>
    <t>Rose</t>
  </si>
  <si>
    <t>Aditya</t>
  </si>
  <si>
    <t>Khanna</t>
  </si>
  <si>
    <t>Megan</t>
  </si>
  <si>
    <t>Walsh</t>
  </si>
  <si>
    <t>If D-Code is not present, display "Retired"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</si>
</sst>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1" fillId="2" borderId="4" xfId="0" applyFont="1" applyFill="1" applyBorder="1"/>
    <xf numFmtId="0" fontId="2" fillId="0" borderId="4" xfId="0" applyFont="1" applyBorder="1" applyAlignment="1">
      <alignment horizontal="center"/>
    </xf>
    <xf numFmtId="0" fontId="0" fillId="0" borderId="4" xfId="0" applyBorder="1"/>
    <xf numFmtId="0" fontId="2" fillId="0" borderId="4" xfId="0" quotePrefix="1" applyFont="1" applyBorder="1"/>
    <xf numFmtId="15" fontId="2" fillId="0" borderId="4" xfId="0" applyNumberFormat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4" xfId="0" applyFont="1" applyBorder="1"/>
    <xf numFmtId="15" fontId="0" fillId="0" borderId="4" xfId="0" applyNumberFormat="1" applyBorder="1"/>
    <xf numFmtId="0" fontId="1" fillId="3" borderId="1" xfId="0" applyFont="1" applyFill="1" applyBorder="1"/>
    <xf numFmtId="0" fontId="3" fillId="2" borderId="2" xfId="0" applyFont="1" applyFill="1" applyBorder="1" applyAlignment="1">
      <alignment horizontal="left"/>
    </xf>
    <xf numFmtId="0" fontId="4" fillId="0" borderId="3" xfId="0" applyFont="1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O1000"/>
  <sheetViews>
    <sheetView topLeftCell="B4" workbookViewId="0">
      <selection activeCell="M22" sqref="M22"/>
    </sheetView>
  </sheetViews>
  <sheetFormatPr defaultColWidth="14.44140625" defaultRowHeight="15" customHeight="1"/>
  <cols>
    <col min="1" max="3" width="8.6640625" customWidth="1"/>
    <col min="4" max="4" width="13.21875" customWidth="1"/>
    <col min="5" max="5" width="9.33203125" bestFit="1" customWidth="1"/>
    <col min="6" max="6" width="9.88671875" customWidth="1"/>
    <col min="7" max="7" width="8.6640625" customWidth="1"/>
    <col min="8" max="8" width="9" bestFit="1" customWidth="1"/>
    <col min="9" max="9" width="21.33203125" bestFit="1" customWidth="1"/>
    <col min="10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8" t="s">
        <v>35</v>
      </c>
      <c r="D4" s="8" t="s">
        <v>0</v>
      </c>
      <c r="E4" s="8" t="s">
        <v>1</v>
      </c>
      <c r="F4" s="8" t="s">
        <v>2</v>
      </c>
      <c r="G4" s="8" t="s">
        <v>3</v>
      </c>
      <c r="H4" s="8" t="s">
        <v>4</v>
      </c>
      <c r="I4" s="8" t="s">
        <v>5</v>
      </c>
      <c r="J4" s="8" t="s">
        <v>6</v>
      </c>
      <c r="K4" s="8" t="s">
        <v>7</v>
      </c>
    </row>
    <row r="5" spans="3:15" ht="14.25" customHeight="1">
      <c r="C5" s="9">
        <v>150834</v>
      </c>
      <c r="D5" s="10" t="s">
        <v>36</v>
      </c>
      <c r="E5" s="11" t="s">
        <v>37</v>
      </c>
      <c r="F5" s="15">
        <v>29952</v>
      </c>
      <c r="G5" s="13" t="s">
        <v>8</v>
      </c>
      <c r="H5" s="11" t="s">
        <v>9</v>
      </c>
      <c r="I5" s="11" t="s">
        <v>10</v>
      </c>
      <c r="J5" s="11" t="s">
        <v>11</v>
      </c>
      <c r="K5" s="14">
        <v>48000</v>
      </c>
    </row>
    <row r="6" spans="3:15" ht="14.25" customHeight="1">
      <c r="C6" s="9">
        <v>150784</v>
      </c>
      <c r="D6" s="10" t="s">
        <v>38</v>
      </c>
      <c r="E6" s="11" t="s">
        <v>39</v>
      </c>
      <c r="F6" s="15">
        <v>33311</v>
      </c>
      <c r="G6" s="13" t="s">
        <v>8</v>
      </c>
      <c r="H6" s="11" t="s">
        <v>12</v>
      </c>
      <c r="I6" s="11" t="s">
        <v>13</v>
      </c>
      <c r="J6" s="11" t="s">
        <v>11</v>
      </c>
      <c r="K6" s="14">
        <v>35000</v>
      </c>
    </row>
    <row r="7" spans="3:15" ht="14.25" customHeight="1">
      <c r="C7" s="9">
        <v>150791</v>
      </c>
      <c r="D7" s="10" t="s">
        <v>40</v>
      </c>
      <c r="E7" s="11" t="s">
        <v>23</v>
      </c>
      <c r="F7" s="15">
        <v>31620</v>
      </c>
      <c r="G7" s="13" t="s">
        <v>8</v>
      </c>
      <c r="H7" s="11" t="s">
        <v>9</v>
      </c>
      <c r="I7" s="11" t="s">
        <v>13</v>
      </c>
      <c r="J7" s="11" t="s">
        <v>11</v>
      </c>
      <c r="K7" s="14">
        <v>67000</v>
      </c>
      <c r="M7" s="7" t="s">
        <v>14</v>
      </c>
    </row>
    <row r="8" spans="3:15" ht="14.25" customHeight="1">
      <c r="C8" s="9">
        <v>150940</v>
      </c>
      <c r="D8" s="10" t="s">
        <v>41</v>
      </c>
      <c r="E8" s="11" t="s">
        <v>42</v>
      </c>
      <c r="F8" s="15">
        <v>32425</v>
      </c>
      <c r="G8" s="13" t="s">
        <v>15</v>
      </c>
      <c r="H8" s="11" t="s">
        <v>12</v>
      </c>
      <c r="I8" s="11" t="s">
        <v>16</v>
      </c>
      <c r="J8" s="11" t="s">
        <v>17</v>
      </c>
      <c r="K8" s="14">
        <v>87000</v>
      </c>
    </row>
    <row r="9" spans="3:15" ht="14.25" customHeight="1">
      <c r="C9" s="9">
        <v>150777</v>
      </c>
      <c r="D9" s="10" t="s">
        <v>43</v>
      </c>
      <c r="E9" s="11" t="s">
        <v>44</v>
      </c>
      <c r="F9" s="15">
        <v>28997</v>
      </c>
      <c r="G9" s="13" t="s">
        <v>15</v>
      </c>
      <c r="H9" s="11" t="s">
        <v>9</v>
      </c>
      <c r="I9" s="11" t="s">
        <v>18</v>
      </c>
      <c r="J9" s="11" t="s">
        <v>11</v>
      </c>
      <c r="K9" s="14">
        <v>22000</v>
      </c>
      <c r="M9" s="17" t="s">
        <v>19</v>
      </c>
      <c r="N9" s="18"/>
      <c r="O9" s="16" t="s">
        <v>20</v>
      </c>
    </row>
    <row r="10" spans="3:15" ht="14.25" customHeight="1">
      <c r="C10" s="9">
        <v>150805</v>
      </c>
      <c r="D10" s="10" t="s">
        <v>45</v>
      </c>
      <c r="E10" s="11" t="s">
        <v>46</v>
      </c>
      <c r="F10" s="15">
        <v>35036</v>
      </c>
      <c r="G10" s="13" t="s">
        <v>15</v>
      </c>
      <c r="H10" s="11" t="s">
        <v>9</v>
      </c>
      <c r="I10" s="11" t="s">
        <v>21</v>
      </c>
      <c r="J10" s="11" t="s">
        <v>11</v>
      </c>
      <c r="K10" s="14">
        <v>91000</v>
      </c>
      <c r="M10" s="6" t="s">
        <v>22</v>
      </c>
      <c r="N10" s="6">
        <f>MAX(K5:K42)</f>
        <v>92000</v>
      </c>
      <c r="O10" s="5" t="str">
        <f>INDEX(D5:D42,MATCH(N10,K5:K42,0))</f>
        <v>Daniel</v>
      </c>
    </row>
    <row r="11" spans="3:15" ht="14.25" customHeight="1">
      <c r="C11" s="9">
        <v>150990</v>
      </c>
      <c r="D11" s="10" t="s">
        <v>47</v>
      </c>
      <c r="E11" s="11" t="s">
        <v>48</v>
      </c>
      <c r="F11" s="15">
        <v>30544</v>
      </c>
      <c r="G11" s="13" t="s">
        <v>15</v>
      </c>
      <c r="H11" s="11" t="s">
        <v>9</v>
      </c>
      <c r="I11" s="11" t="s">
        <v>24</v>
      </c>
      <c r="J11" s="11" t="s">
        <v>25</v>
      </c>
      <c r="K11" s="14">
        <v>77000</v>
      </c>
      <c r="M11" s="6" t="s">
        <v>26</v>
      </c>
      <c r="N11" s="5">
        <f>MIN(K5:K42)</f>
        <v>15000</v>
      </c>
      <c r="O11" s="5" t="str">
        <f>INDEX(D6:D43,MATCH(N11,K6:K43,0))</f>
        <v>Lucas</v>
      </c>
    </row>
    <row r="12" spans="3:15" ht="14.25" customHeight="1">
      <c r="C12" s="9">
        <v>150989</v>
      </c>
      <c r="D12" s="10" t="s">
        <v>49</v>
      </c>
      <c r="E12" s="11" t="s">
        <v>50</v>
      </c>
      <c r="F12" s="15">
        <v>32932</v>
      </c>
      <c r="G12" s="13" t="s">
        <v>15</v>
      </c>
      <c r="H12" s="11" t="s">
        <v>9</v>
      </c>
      <c r="I12" s="11" t="s">
        <v>13</v>
      </c>
      <c r="J12" s="11" t="s">
        <v>25</v>
      </c>
      <c r="K12" s="14">
        <v>45000</v>
      </c>
    </row>
    <row r="13" spans="3:15" ht="14.25" customHeight="1">
      <c r="C13" s="9">
        <v>150881</v>
      </c>
      <c r="D13" s="10" t="s">
        <v>51</v>
      </c>
      <c r="E13" s="11" t="s">
        <v>52</v>
      </c>
      <c r="F13" s="15">
        <v>31939</v>
      </c>
      <c r="G13" s="13" t="s">
        <v>15</v>
      </c>
      <c r="H13" s="11" t="s">
        <v>12</v>
      </c>
      <c r="I13" s="11" t="s">
        <v>13</v>
      </c>
      <c r="J13" s="11" t="s">
        <v>27</v>
      </c>
      <c r="K13" s="14">
        <v>92000</v>
      </c>
    </row>
    <row r="14" spans="3:15" ht="14.25" customHeight="1">
      <c r="C14" s="9">
        <v>150814</v>
      </c>
      <c r="D14" s="10" t="s">
        <v>53</v>
      </c>
      <c r="E14" s="11" t="s">
        <v>54</v>
      </c>
      <c r="F14" s="15">
        <v>29859</v>
      </c>
      <c r="G14" s="13" t="s">
        <v>15</v>
      </c>
      <c r="H14" s="11" t="s">
        <v>9</v>
      </c>
      <c r="I14" s="11" t="s">
        <v>16</v>
      </c>
      <c r="J14" s="11" t="s">
        <v>11</v>
      </c>
      <c r="K14" s="14">
        <v>50000</v>
      </c>
    </row>
    <row r="15" spans="3:15" ht="14.25" customHeight="1">
      <c r="C15" s="9">
        <v>150937</v>
      </c>
      <c r="D15" s="10" t="s">
        <v>55</v>
      </c>
      <c r="E15" s="11" t="s">
        <v>56</v>
      </c>
      <c r="F15" s="15">
        <v>35160</v>
      </c>
      <c r="G15" s="13" t="s">
        <v>15</v>
      </c>
      <c r="H15" s="11" t="s">
        <v>9</v>
      </c>
      <c r="I15" s="11" t="s">
        <v>24</v>
      </c>
      <c r="J15" s="11" t="s">
        <v>17</v>
      </c>
      <c r="K15" s="14">
        <v>37000</v>
      </c>
    </row>
    <row r="16" spans="3:15" ht="14.25" customHeight="1">
      <c r="C16" s="9">
        <v>150888</v>
      </c>
      <c r="D16" s="10" t="s">
        <v>57</v>
      </c>
      <c r="E16" s="11" t="s">
        <v>58</v>
      </c>
      <c r="F16" s="15">
        <v>31005</v>
      </c>
      <c r="G16" s="13" t="s">
        <v>15</v>
      </c>
      <c r="H16" s="11" t="s">
        <v>9</v>
      </c>
      <c r="I16" s="11" t="s">
        <v>24</v>
      </c>
      <c r="J16" s="11" t="s">
        <v>27</v>
      </c>
      <c r="K16" s="14">
        <v>43000</v>
      </c>
    </row>
    <row r="17" spans="3:11" ht="14.25" customHeight="1">
      <c r="C17" s="9">
        <v>150865</v>
      </c>
      <c r="D17" s="10" t="s">
        <v>59</v>
      </c>
      <c r="E17" s="11" t="s">
        <v>60</v>
      </c>
      <c r="F17" s="15">
        <v>32532</v>
      </c>
      <c r="G17" s="13" t="s">
        <v>8</v>
      </c>
      <c r="H17" s="11" t="s">
        <v>9</v>
      </c>
      <c r="I17" s="11" t="s">
        <v>28</v>
      </c>
      <c r="J17" s="11" t="s">
        <v>27</v>
      </c>
      <c r="K17" s="14">
        <v>90000</v>
      </c>
    </row>
    <row r="18" spans="3:11" ht="14.25" customHeight="1">
      <c r="C18" s="9">
        <v>150858</v>
      </c>
      <c r="D18" s="10" t="s">
        <v>61</v>
      </c>
      <c r="E18" s="11" t="s">
        <v>62</v>
      </c>
      <c r="F18" s="15">
        <v>33792</v>
      </c>
      <c r="G18" s="13" t="s">
        <v>15</v>
      </c>
      <c r="H18" s="11" t="s">
        <v>9</v>
      </c>
      <c r="I18" s="11" t="s">
        <v>29</v>
      </c>
      <c r="J18" s="11" t="s">
        <v>27</v>
      </c>
      <c r="K18" s="14">
        <v>34000</v>
      </c>
    </row>
    <row r="19" spans="3:11" ht="14.25" customHeight="1">
      <c r="C19" s="9">
        <v>150930</v>
      </c>
      <c r="D19" s="10" t="s">
        <v>63</v>
      </c>
      <c r="E19" s="11" t="s">
        <v>64</v>
      </c>
      <c r="F19" s="15">
        <v>29507</v>
      </c>
      <c r="G19" s="13" t="s">
        <v>15</v>
      </c>
      <c r="H19" s="11" t="s">
        <v>9</v>
      </c>
      <c r="I19" s="11" t="s">
        <v>13</v>
      </c>
      <c r="J19" s="11" t="s">
        <v>17</v>
      </c>
      <c r="K19" s="14">
        <v>82000</v>
      </c>
    </row>
    <row r="20" spans="3:11" ht="14.25" customHeight="1">
      <c r="C20" s="9">
        <v>150894</v>
      </c>
      <c r="D20" s="10" t="s">
        <v>65</v>
      </c>
      <c r="E20" s="11" t="s">
        <v>66</v>
      </c>
      <c r="F20" s="15">
        <v>35576</v>
      </c>
      <c r="G20" s="13" t="s">
        <v>15</v>
      </c>
      <c r="H20" s="11" t="s">
        <v>9</v>
      </c>
      <c r="I20" s="11" t="s">
        <v>16</v>
      </c>
      <c r="J20" s="11" t="s">
        <v>17</v>
      </c>
      <c r="K20" s="14">
        <v>67000</v>
      </c>
    </row>
    <row r="21" spans="3:11" ht="14.25" customHeight="1">
      <c r="C21" s="9">
        <v>150947</v>
      </c>
      <c r="D21" s="10" t="s">
        <v>67</v>
      </c>
      <c r="E21" s="11" t="s">
        <v>68</v>
      </c>
      <c r="F21" s="15">
        <v>31261</v>
      </c>
      <c r="G21" s="13" t="s">
        <v>8</v>
      </c>
      <c r="H21" s="11" t="s">
        <v>9</v>
      </c>
      <c r="I21" s="11" t="s">
        <v>29</v>
      </c>
      <c r="J21" s="11" t="s">
        <v>17</v>
      </c>
      <c r="K21" s="14">
        <v>85000</v>
      </c>
    </row>
    <row r="22" spans="3:11" ht="14.25" customHeight="1">
      <c r="C22" s="9">
        <v>150905</v>
      </c>
      <c r="D22" s="10" t="s">
        <v>69</v>
      </c>
      <c r="E22" s="11" t="s">
        <v>70</v>
      </c>
      <c r="F22" s="15">
        <v>34018</v>
      </c>
      <c r="G22" s="13" t="s">
        <v>8</v>
      </c>
      <c r="H22" s="11" t="s">
        <v>12</v>
      </c>
      <c r="I22" s="11" t="s">
        <v>10</v>
      </c>
      <c r="J22" s="11" t="s">
        <v>17</v>
      </c>
      <c r="K22" s="14">
        <v>62000</v>
      </c>
    </row>
    <row r="23" spans="3:11" ht="14.25" customHeight="1">
      <c r="C23" s="9">
        <v>150995</v>
      </c>
      <c r="D23" s="10" t="s">
        <v>71</v>
      </c>
      <c r="E23" s="11" t="s">
        <v>72</v>
      </c>
      <c r="F23" s="15">
        <v>28762</v>
      </c>
      <c r="G23" s="13" t="s">
        <v>15</v>
      </c>
      <c r="H23" s="11" t="s">
        <v>9</v>
      </c>
      <c r="I23" s="11" t="s">
        <v>16</v>
      </c>
      <c r="J23" s="11" t="s">
        <v>25</v>
      </c>
      <c r="K23" s="14">
        <v>15000</v>
      </c>
    </row>
    <row r="24" spans="3:11" ht="14.25" customHeight="1">
      <c r="C24" s="9">
        <v>150912</v>
      </c>
      <c r="D24" s="10" t="s">
        <v>73</v>
      </c>
      <c r="E24" s="11" t="s">
        <v>74</v>
      </c>
      <c r="F24" s="15">
        <v>34680</v>
      </c>
      <c r="G24" s="13" t="s">
        <v>8</v>
      </c>
      <c r="H24" s="11" t="s">
        <v>9</v>
      </c>
      <c r="I24" s="11" t="s">
        <v>30</v>
      </c>
      <c r="J24" s="11" t="s">
        <v>17</v>
      </c>
      <c r="K24" s="14">
        <v>81000</v>
      </c>
    </row>
    <row r="25" spans="3:11" ht="14.25" customHeight="1">
      <c r="C25" s="9">
        <v>150921</v>
      </c>
      <c r="D25" s="10" t="s">
        <v>75</v>
      </c>
      <c r="E25" s="11" t="s">
        <v>76</v>
      </c>
      <c r="F25" s="15">
        <v>32208</v>
      </c>
      <c r="G25" s="13" t="s">
        <v>15</v>
      </c>
      <c r="H25" s="11" t="s">
        <v>9</v>
      </c>
      <c r="I25" s="11" t="s">
        <v>31</v>
      </c>
      <c r="J25" s="11" t="s">
        <v>17</v>
      </c>
      <c r="K25" s="14">
        <v>19000</v>
      </c>
    </row>
    <row r="26" spans="3:11" ht="14.25" customHeight="1">
      <c r="C26" s="9">
        <v>150851</v>
      </c>
      <c r="D26" s="10" t="s">
        <v>77</v>
      </c>
      <c r="E26" s="11" t="s">
        <v>78</v>
      </c>
      <c r="F26" s="15">
        <v>33045</v>
      </c>
      <c r="G26" s="13" t="s">
        <v>15</v>
      </c>
      <c r="H26" s="11" t="s">
        <v>12</v>
      </c>
      <c r="I26" s="11" t="s">
        <v>16</v>
      </c>
      <c r="J26" s="11" t="s">
        <v>27</v>
      </c>
      <c r="K26" s="14">
        <v>75000</v>
      </c>
    </row>
    <row r="27" spans="3:11" ht="14.25" customHeight="1">
      <c r="C27" s="9">
        <v>150867</v>
      </c>
      <c r="D27" s="10" t="s">
        <v>79</v>
      </c>
      <c r="E27" s="11" t="s">
        <v>80</v>
      </c>
      <c r="F27" s="15">
        <v>30178</v>
      </c>
      <c r="G27" s="13" t="s">
        <v>8</v>
      </c>
      <c r="H27" s="11" t="s">
        <v>12</v>
      </c>
      <c r="I27" s="11" t="s">
        <v>31</v>
      </c>
      <c r="J27" s="11" t="s">
        <v>27</v>
      </c>
      <c r="K27" s="14">
        <v>49000</v>
      </c>
    </row>
    <row r="28" spans="3:11" ht="14.25" customHeight="1">
      <c r="C28" s="9">
        <v>150899</v>
      </c>
      <c r="D28" s="10" t="s">
        <v>81</v>
      </c>
      <c r="E28" s="11" t="s">
        <v>82</v>
      </c>
      <c r="F28" s="15">
        <v>36168</v>
      </c>
      <c r="G28" s="13" t="s">
        <v>15</v>
      </c>
      <c r="H28" s="11" t="s">
        <v>9</v>
      </c>
      <c r="I28" s="11" t="s">
        <v>29</v>
      </c>
      <c r="J28" s="11" t="s">
        <v>17</v>
      </c>
      <c r="K28" s="14">
        <v>50000</v>
      </c>
    </row>
    <row r="29" spans="3:11" ht="14.25" customHeight="1">
      <c r="C29" s="9">
        <v>150975</v>
      </c>
      <c r="D29" s="10" t="s">
        <v>83</v>
      </c>
      <c r="E29" s="11" t="s">
        <v>84</v>
      </c>
      <c r="F29" s="15">
        <v>30795</v>
      </c>
      <c r="G29" s="13" t="s">
        <v>15</v>
      </c>
      <c r="H29" s="11" t="s">
        <v>9</v>
      </c>
      <c r="I29" s="11" t="s">
        <v>31</v>
      </c>
      <c r="J29" s="11" t="s">
        <v>25</v>
      </c>
      <c r="K29" s="14">
        <v>83000</v>
      </c>
    </row>
    <row r="30" spans="3:11" ht="14.25" customHeight="1">
      <c r="C30" s="9">
        <v>150901</v>
      </c>
      <c r="D30" s="10" t="s">
        <v>85</v>
      </c>
      <c r="E30" s="11" t="s">
        <v>86</v>
      </c>
      <c r="F30" s="15">
        <v>33429</v>
      </c>
      <c r="G30" s="13" t="s">
        <v>8</v>
      </c>
      <c r="H30" s="11" t="s">
        <v>9</v>
      </c>
      <c r="I30" s="11" t="s">
        <v>32</v>
      </c>
      <c r="J30" s="11" t="s">
        <v>17</v>
      </c>
      <c r="K30" s="14">
        <v>53000</v>
      </c>
    </row>
    <row r="31" spans="3:11" ht="14.25" customHeight="1">
      <c r="C31" s="9">
        <v>150968</v>
      </c>
      <c r="D31" s="10" t="s">
        <v>87</v>
      </c>
      <c r="E31" s="11" t="s">
        <v>88</v>
      </c>
      <c r="F31" s="15">
        <v>31716</v>
      </c>
      <c r="G31" s="13" t="s">
        <v>15</v>
      </c>
      <c r="H31" s="11" t="s">
        <v>9</v>
      </c>
      <c r="I31" s="11" t="s">
        <v>30</v>
      </c>
      <c r="J31" s="11" t="s">
        <v>17</v>
      </c>
      <c r="K31" s="14">
        <v>65000</v>
      </c>
    </row>
    <row r="32" spans="3:11" ht="14.25" customHeight="1">
      <c r="C32" s="9">
        <v>150773</v>
      </c>
      <c r="D32" s="10" t="s">
        <v>89</v>
      </c>
      <c r="E32" s="11" t="s">
        <v>90</v>
      </c>
      <c r="F32" s="15">
        <v>34734</v>
      </c>
      <c r="G32" s="13" t="s">
        <v>15</v>
      </c>
      <c r="H32" s="11" t="s">
        <v>9</v>
      </c>
      <c r="I32" s="11" t="s">
        <v>31</v>
      </c>
      <c r="J32" s="11" t="s">
        <v>11</v>
      </c>
      <c r="K32" s="14">
        <v>85000</v>
      </c>
    </row>
    <row r="33" spans="3:11" ht="14.25" customHeight="1">
      <c r="C33" s="9">
        <v>150840</v>
      </c>
      <c r="D33" s="10" t="s">
        <v>91</v>
      </c>
      <c r="E33" s="11" t="s">
        <v>80</v>
      </c>
      <c r="F33" s="15">
        <v>30576</v>
      </c>
      <c r="G33" s="13" t="s">
        <v>8</v>
      </c>
      <c r="H33" s="11" t="s">
        <v>9</v>
      </c>
      <c r="I33" s="11" t="s">
        <v>16</v>
      </c>
      <c r="J33" s="11" t="s">
        <v>27</v>
      </c>
      <c r="K33" s="14">
        <v>20000</v>
      </c>
    </row>
    <row r="34" spans="3:11" ht="14.25" customHeight="1">
      <c r="C34" s="9">
        <v>150850</v>
      </c>
      <c r="D34" s="10" t="s">
        <v>92</v>
      </c>
      <c r="E34" s="11" t="s">
        <v>93</v>
      </c>
      <c r="F34" s="15">
        <v>29184</v>
      </c>
      <c r="G34" s="13" t="s">
        <v>15</v>
      </c>
      <c r="H34" s="11" t="s">
        <v>9</v>
      </c>
      <c r="I34" s="11" t="s">
        <v>29</v>
      </c>
      <c r="J34" s="11" t="s">
        <v>27</v>
      </c>
      <c r="K34" s="14">
        <v>47000</v>
      </c>
    </row>
    <row r="35" spans="3:11" ht="14.25" customHeight="1">
      <c r="C35" s="9">
        <v>150962</v>
      </c>
      <c r="D35" s="10" t="s">
        <v>94</v>
      </c>
      <c r="E35" s="11" t="s">
        <v>95</v>
      </c>
      <c r="F35" s="15">
        <v>35955</v>
      </c>
      <c r="G35" s="13" t="s">
        <v>8</v>
      </c>
      <c r="H35" s="11" t="s">
        <v>9</v>
      </c>
      <c r="I35" s="11" t="s">
        <v>21</v>
      </c>
      <c r="J35" s="11" t="s">
        <v>17</v>
      </c>
      <c r="K35" s="14">
        <v>87000</v>
      </c>
    </row>
    <row r="36" spans="3:11" ht="14.25" customHeight="1">
      <c r="C36" s="9">
        <v>150954</v>
      </c>
      <c r="D36" s="10" t="s">
        <v>52</v>
      </c>
      <c r="E36" s="11" t="s">
        <v>96</v>
      </c>
      <c r="F36" s="15">
        <v>31856</v>
      </c>
      <c r="G36" s="13" t="s">
        <v>8</v>
      </c>
      <c r="H36" s="11" t="s">
        <v>9</v>
      </c>
      <c r="I36" s="11" t="s">
        <v>32</v>
      </c>
      <c r="J36" s="11" t="s">
        <v>17</v>
      </c>
      <c r="K36" s="14">
        <v>57000</v>
      </c>
    </row>
    <row r="37" spans="3:11" ht="14.25" customHeight="1">
      <c r="C37" s="9">
        <v>150874</v>
      </c>
      <c r="D37" s="10" t="s">
        <v>97</v>
      </c>
      <c r="E37" s="11" t="s">
        <v>98</v>
      </c>
      <c r="F37" s="15">
        <v>29812</v>
      </c>
      <c r="G37" s="13" t="s">
        <v>8</v>
      </c>
      <c r="H37" s="11" t="s">
        <v>9</v>
      </c>
      <c r="I37" s="11" t="s">
        <v>18</v>
      </c>
      <c r="J37" s="11" t="s">
        <v>27</v>
      </c>
      <c r="K37" s="14">
        <v>27000</v>
      </c>
    </row>
    <row r="38" spans="3:11" ht="14.25" customHeight="1">
      <c r="C38" s="9">
        <v>150798</v>
      </c>
      <c r="D38" s="10" t="s">
        <v>99</v>
      </c>
      <c r="E38" s="11" t="s">
        <v>100</v>
      </c>
      <c r="F38" s="15">
        <v>35427</v>
      </c>
      <c r="G38" s="13" t="s">
        <v>8</v>
      </c>
      <c r="H38" s="11" t="s">
        <v>9</v>
      </c>
      <c r="I38" s="11" t="s">
        <v>13</v>
      </c>
      <c r="J38" s="11" t="s">
        <v>11</v>
      </c>
      <c r="K38" s="14">
        <v>81000</v>
      </c>
    </row>
    <row r="39" spans="3:11" ht="14.25" customHeight="1">
      <c r="C39" s="9">
        <v>150830</v>
      </c>
      <c r="D39" s="10" t="s">
        <v>101</v>
      </c>
      <c r="E39" s="11" t="s">
        <v>102</v>
      </c>
      <c r="F39" s="15">
        <v>32631</v>
      </c>
      <c r="G39" s="13" t="s">
        <v>8</v>
      </c>
      <c r="H39" s="11" t="s">
        <v>9</v>
      </c>
      <c r="I39" s="11" t="s">
        <v>32</v>
      </c>
      <c r="J39" s="11" t="s">
        <v>11</v>
      </c>
      <c r="K39" s="14">
        <v>52000</v>
      </c>
    </row>
    <row r="40" spans="3:11" ht="14.25" customHeight="1">
      <c r="C40" s="9">
        <v>150929</v>
      </c>
      <c r="D40" s="10" t="s">
        <v>103</v>
      </c>
      <c r="E40" s="11" t="s">
        <v>104</v>
      </c>
      <c r="F40" s="15">
        <v>33801</v>
      </c>
      <c r="G40" s="13" t="s">
        <v>15</v>
      </c>
      <c r="H40" s="11" t="s">
        <v>9</v>
      </c>
      <c r="I40" s="11" t="s">
        <v>18</v>
      </c>
      <c r="J40" s="11" t="s">
        <v>17</v>
      </c>
      <c r="K40" s="14">
        <v>58000</v>
      </c>
    </row>
    <row r="41" spans="3:11" ht="14.25" customHeight="1">
      <c r="C41" s="9">
        <v>150982</v>
      </c>
      <c r="D41" s="10" t="s">
        <v>105</v>
      </c>
      <c r="E41" s="11" t="s">
        <v>106</v>
      </c>
      <c r="F41" s="15">
        <v>31342</v>
      </c>
      <c r="G41" s="13" t="s">
        <v>15</v>
      </c>
      <c r="H41" s="11" t="s">
        <v>9</v>
      </c>
      <c r="I41" s="11" t="s">
        <v>18</v>
      </c>
      <c r="J41" s="11" t="s">
        <v>25</v>
      </c>
      <c r="K41" s="14">
        <v>47000</v>
      </c>
    </row>
    <row r="42" spans="3:11" ht="14.25" customHeight="1">
      <c r="C42" s="9">
        <v>150821</v>
      </c>
      <c r="D42" s="10" t="s">
        <v>107</v>
      </c>
      <c r="E42" s="11" t="s">
        <v>108</v>
      </c>
      <c r="F42" s="12">
        <v>29966</v>
      </c>
      <c r="G42" s="13" t="s">
        <v>15</v>
      </c>
      <c r="H42" s="11" t="s">
        <v>12</v>
      </c>
      <c r="I42" s="11" t="s">
        <v>29</v>
      </c>
      <c r="J42" s="11" t="s">
        <v>11</v>
      </c>
      <c r="K42" s="14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1:K1000"/>
  <sheetViews>
    <sheetView tabSelected="1" topLeftCell="D1" zoomScale="106" workbookViewId="0">
      <selection activeCell="K8" sqref="K8"/>
    </sheetView>
  </sheetViews>
  <sheetFormatPr defaultColWidth="14.44140625" defaultRowHeight="15" customHeight="1"/>
  <cols>
    <col min="1" max="3" width="8.6640625" customWidth="1"/>
    <col min="4" max="4" width="64.6640625" customWidth="1"/>
    <col min="5" max="5" width="10.44140625" customWidth="1"/>
    <col min="6" max="6" width="9.88671875" customWidth="1"/>
    <col min="7" max="9" width="8.6640625" customWidth="1"/>
    <col min="10" max="10" width="21.33203125" bestFit="1" customWidth="1"/>
    <col min="11" max="11" width="11.44140625" customWidth="1"/>
    <col min="12" max="26" width="8.6640625" customWidth="1"/>
  </cols>
  <sheetData>
    <row r="1" spans="3:11" ht="14.25" customHeight="1"/>
    <row r="2" spans="3:11" ht="14.25" customHeight="1">
      <c r="D2" s="7" t="s">
        <v>33</v>
      </c>
    </row>
    <row r="3" spans="3:11" ht="14.25" customHeight="1">
      <c r="D3" s="7" t="s">
        <v>109</v>
      </c>
    </row>
    <row r="4" spans="3:11" ht="14.25" customHeight="1">
      <c r="D4" s="7" t="s">
        <v>34</v>
      </c>
    </row>
    <row r="5" spans="3:11" ht="14.25" customHeight="1"/>
    <row r="6" spans="3:11" ht="14.25" customHeight="1">
      <c r="C6" s="1" t="s">
        <v>35</v>
      </c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6</v>
      </c>
      <c r="J6" s="1" t="s">
        <v>5</v>
      </c>
      <c r="K6" s="1" t="s">
        <v>7</v>
      </c>
    </row>
    <row r="7" spans="3:11" ht="14.25" customHeight="1">
      <c r="C7" s="2">
        <v>150834</v>
      </c>
      <c r="D7" s="10" t="s">
        <v>36</v>
      </c>
      <c r="E7" s="11" t="s">
        <v>37</v>
      </c>
      <c r="F7" s="15">
        <v>29952</v>
      </c>
      <c r="G7" s="4" t="s">
        <v>8</v>
      </c>
      <c r="H7" s="3" t="s">
        <v>9</v>
      </c>
      <c r="I7" s="19" t="str">
        <f>IFERROR(VLOOKUP(C7,Source!C6:F40,MATCH(Source!E5,Source!C5:F5,0)),"Retired")</f>
        <v>North</v>
      </c>
      <c r="J7" s="5" t="str">
        <f>IFERROR(VLOOKUP(C7,Source!C6:F40,MATCH(Source!D5,Source!C5:F5,0)),"Retired")</f>
        <v>FLM</v>
      </c>
      <c r="K7" s="19">
        <f>IFERROR(VLOOKUP(C7,Source!C6:F40,MATCH(Source!F5,Source!C5:F5,0)),"Retired")</f>
        <v>48000</v>
      </c>
    </row>
    <row r="8" spans="3:11" ht="14.25" customHeight="1">
      <c r="C8" s="2">
        <v>150784</v>
      </c>
      <c r="D8" s="10" t="s">
        <v>38</v>
      </c>
      <c r="E8" s="11" t="s">
        <v>39</v>
      </c>
      <c r="F8" s="15">
        <v>33311</v>
      </c>
      <c r="G8" s="4" t="s">
        <v>8</v>
      </c>
      <c r="H8" s="3" t="s">
        <v>12</v>
      </c>
      <c r="I8" s="19" t="str">
        <f>IFERROR(VLOOKUP(C8,Source!C7:F41,MATCH(Source!E6,Source!C6:F6,0)),"Retired")</f>
        <v>North</v>
      </c>
      <c r="J8" s="5" t="str">
        <f>IFERROR(VLOOKUP(C8,Source!C7:F41,MATCH(Source!D6,Source!C6:F6,0)),"Retired")</f>
        <v>Digital Marketing</v>
      </c>
      <c r="K8" s="19">
        <f>IFERROR(VLOOKUP(C8,Source!C7:F41,MATCH(Source!F6,Source!C6:F6,0)),"Retired")</f>
        <v>35000</v>
      </c>
    </row>
    <row r="9" spans="3:11" ht="14.25" customHeight="1">
      <c r="C9" s="2">
        <v>150791</v>
      </c>
      <c r="D9" s="10" t="s">
        <v>40</v>
      </c>
      <c r="E9" s="11" t="s">
        <v>23</v>
      </c>
      <c r="F9" s="15">
        <v>31620</v>
      </c>
      <c r="G9" s="4" t="s">
        <v>8</v>
      </c>
      <c r="H9" s="3" t="s">
        <v>9</v>
      </c>
      <c r="I9" s="19" t="str">
        <f>IFERROR(VLOOKUP(C9,Source!C8:F42,MATCH(Source!E7,Source!C7:F7,0)),"Retired")</f>
        <v>North</v>
      </c>
      <c r="J9" s="5" t="str">
        <f>IFERROR(VLOOKUP(C9,Source!C8:F42,MATCH(Source!D7,Source!C7:F7,0)),"Retired")</f>
        <v>Digital Marketing</v>
      </c>
      <c r="K9" s="19">
        <f>IFERROR(VLOOKUP(C9,Source!C8:F42,MATCH(Source!F7,Source!C7:F7,0)),"Retired")</f>
        <v>67000</v>
      </c>
    </row>
    <row r="10" spans="3:11" ht="14.25" customHeight="1">
      <c r="C10" s="2">
        <v>150940</v>
      </c>
      <c r="D10" s="10" t="s">
        <v>41</v>
      </c>
      <c r="E10" s="11" t="s">
        <v>42</v>
      </c>
      <c r="F10" s="15">
        <v>32425</v>
      </c>
      <c r="G10" s="4" t="s">
        <v>15</v>
      </c>
      <c r="H10" s="3" t="s">
        <v>12</v>
      </c>
      <c r="I10" s="19" t="str">
        <f>IFERROR(VLOOKUP(C10,Source!C9:F43,MATCH(Source!E8,Source!C8:F8,0)),"Retired")</f>
        <v>South</v>
      </c>
      <c r="J10" s="5" t="str">
        <f>IFERROR(VLOOKUP(C10,Source!C9:F43,MATCH(Source!D8,Source!C8:F8,0)),"Retired")</f>
        <v>Inside Sales</v>
      </c>
      <c r="K10" s="19">
        <f>IFERROR(VLOOKUP(C10,Source!C9:F43,MATCH(Source!F8,Source!C8:F8,0)),"Retired")</f>
        <v>87000</v>
      </c>
    </row>
    <row r="11" spans="3:11" ht="14.25" customHeight="1">
      <c r="C11" s="2">
        <v>150777</v>
      </c>
      <c r="D11" s="10" t="s">
        <v>43</v>
      </c>
      <c r="E11" s="11" t="s">
        <v>44</v>
      </c>
      <c r="F11" s="15">
        <v>28997</v>
      </c>
      <c r="G11" s="4" t="s">
        <v>15</v>
      </c>
      <c r="H11" s="3" t="s">
        <v>9</v>
      </c>
      <c r="I11" s="19" t="str">
        <f>IFERROR(VLOOKUP(C11,Source!C10:F44,MATCH(Source!E9,Source!C9:F9,0)),"Retired")</f>
        <v>Retired</v>
      </c>
      <c r="J11" s="5" t="str">
        <f>IFERROR(VLOOKUP(C11,Source!C10:F44,MATCH(Source!D9,Source!C9:F9,0)),"Retired")</f>
        <v>Retired</v>
      </c>
      <c r="K11" s="19" t="str">
        <f>IFERROR(VLOOKUP(C11,Source!C10:F44,MATCH(Source!F9,Source!C9:F9,0)),"Retired")</f>
        <v>Retired</v>
      </c>
    </row>
    <row r="12" spans="3:11" ht="14.25" customHeight="1">
      <c r="C12" s="2">
        <v>150805</v>
      </c>
      <c r="D12" s="10" t="s">
        <v>45</v>
      </c>
      <c r="E12" s="11" t="s">
        <v>46</v>
      </c>
      <c r="F12" s="15">
        <v>35036</v>
      </c>
      <c r="G12" s="4" t="s">
        <v>15</v>
      </c>
      <c r="H12" s="3" t="s">
        <v>9</v>
      </c>
      <c r="I12" s="19" t="str">
        <f>IFERROR(VLOOKUP(C12,Source!C11:F45,MATCH(Source!E10,Source!C10:F10,0)),"Retired")</f>
        <v>North</v>
      </c>
      <c r="J12" s="5" t="str">
        <f>IFERROR(VLOOKUP(C12,Source!C11:F45,MATCH(Source!D10,Source!C10:F10,0)),"Retired")</f>
        <v>Director</v>
      </c>
      <c r="K12" s="19">
        <f>IFERROR(VLOOKUP(C12,Source!C11:F45,MATCH(Source!F10,Source!C10:F10,0)),"Retired")</f>
        <v>91000</v>
      </c>
    </row>
    <row r="13" spans="3:11" ht="14.25" customHeight="1">
      <c r="C13" s="2">
        <v>150990</v>
      </c>
      <c r="D13" s="10" t="s">
        <v>47</v>
      </c>
      <c r="E13" s="11" t="s">
        <v>48</v>
      </c>
      <c r="F13" s="15">
        <v>30544</v>
      </c>
      <c r="G13" s="4" t="s">
        <v>15</v>
      </c>
      <c r="H13" s="3" t="s">
        <v>9</v>
      </c>
      <c r="I13" s="19" t="str">
        <f>IFERROR(VLOOKUP(C13,Source!C12:F46,MATCH(Source!E11,Source!C11:F11,0)),"Retired")</f>
        <v>Mid West</v>
      </c>
      <c r="J13" s="5" t="str">
        <f>IFERROR(VLOOKUP(C13,Source!C12:F46,MATCH(Source!D11,Source!C11:F11,0)),"Retired")</f>
        <v>Learning &amp; Development</v>
      </c>
      <c r="K13" s="19">
        <f>IFERROR(VLOOKUP(C13,Source!C12:F46,MATCH(Source!F11,Source!C11:F11,0)),"Retired")</f>
        <v>77000</v>
      </c>
    </row>
    <row r="14" spans="3:11" ht="14.25" customHeight="1">
      <c r="C14" s="2">
        <v>150989</v>
      </c>
      <c r="D14" s="10" t="s">
        <v>49</v>
      </c>
      <c r="E14" s="11" t="s">
        <v>50</v>
      </c>
      <c r="F14" s="15">
        <v>32932</v>
      </c>
      <c r="G14" s="4" t="s">
        <v>15</v>
      </c>
      <c r="H14" s="3" t="s">
        <v>9</v>
      </c>
      <c r="I14" s="19" t="str">
        <f>IFERROR(VLOOKUP(C14,Source!C13:F47,MATCH(Source!E12,Source!C12:F12,0)),"Retired")</f>
        <v>Mid West</v>
      </c>
      <c r="J14" s="5" t="str">
        <f>IFERROR(VLOOKUP(C14,Source!C13:F47,MATCH(Source!D12,Source!C12:F12,0)),"Retired")</f>
        <v>Digital Marketing</v>
      </c>
      <c r="K14" s="19">
        <f>IFERROR(VLOOKUP(C14,Source!C13:F47,MATCH(Source!F12,Source!C12:F12,0)),"Retired")</f>
        <v>45000</v>
      </c>
    </row>
    <row r="15" spans="3:11" ht="14.25" customHeight="1">
      <c r="C15" s="2">
        <v>150881</v>
      </c>
      <c r="D15" s="10" t="s">
        <v>51</v>
      </c>
      <c r="E15" s="11" t="s">
        <v>52</v>
      </c>
      <c r="F15" s="15">
        <v>31939</v>
      </c>
      <c r="G15" s="4" t="s">
        <v>15</v>
      </c>
      <c r="H15" s="3" t="s">
        <v>12</v>
      </c>
      <c r="I15" s="19" t="str">
        <f>IFERROR(VLOOKUP(C15,Source!C14:F48,MATCH(Source!E13,Source!C13:F13,0)),"Retired")</f>
        <v>East</v>
      </c>
      <c r="J15" s="5" t="str">
        <f>IFERROR(VLOOKUP(C15,Source!C14:F48,MATCH(Source!D13,Source!C13:F13,0)),"Retired")</f>
        <v>Digital Marketing</v>
      </c>
      <c r="K15" s="19">
        <f>IFERROR(VLOOKUP(C15,Source!C14:F48,MATCH(Source!F13,Source!C13:F13,0)),"Retired")</f>
        <v>92000</v>
      </c>
    </row>
    <row r="16" spans="3:11" ht="14.25" customHeight="1">
      <c r="C16" s="2">
        <v>150814</v>
      </c>
      <c r="D16" s="10" t="s">
        <v>53</v>
      </c>
      <c r="E16" s="11" t="s">
        <v>54</v>
      </c>
      <c r="F16" s="15">
        <v>29859</v>
      </c>
      <c r="G16" s="4" t="s">
        <v>15</v>
      </c>
      <c r="H16" s="3" t="s">
        <v>9</v>
      </c>
      <c r="I16" s="19" t="str">
        <f>IFERROR(VLOOKUP(C16,Source!C15:F49,MATCH(Source!E14,Source!C14:F14,0)),"Retired")</f>
        <v>Retired</v>
      </c>
      <c r="J16" s="5" t="str">
        <f>IFERROR(VLOOKUP(C16,Source!C15:F49,MATCH(Source!D14,Source!C14:F14,0)),"Retired")</f>
        <v>Retired</v>
      </c>
      <c r="K16" s="19" t="str">
        <f>IFERROR(VLOOKUP(C16,Source!C15:F49,MATCH(Source!F14,Source!C14:F14,0)),"Retired")</f>
        <v>Retired</v>
      </c>
    </row>
    <row r="17" spans="3:11" ht="14.25" customHeight="1">
      <c r="C17" s="2">
        <v>150937</v>
      </c>
      <c r="D17" s="10" t="s">
        <v>55</v>
      </c>
      <c r="E17" s="11" t="s">
        <v>56</v>
      </c>
      <c r="F17" s="15">
        <v>35160</v>
      </c>
      <c r="G17" s="4" t="s">
        <v>15</v>
      </c>
      <c r="H17" s="3" t="s">
        <v>9</v>
      </c>
      <c r="I17" s="19" t="str">
        <f>IFERROR(VLOOKUP(C17,Source!C16:F50,MATCH(Source!E15,Source!C15:F15,0)),"Retired")</f>
        <v>South</v>
      </c>
      <c r="J17" s="5" t="str">
        <f>IFERROR(VLOOKUP(C17,Source!C16:F50,MATCH(Source!D15,Source!C15:F15,0)),"Retired")</f>
        <v>Learning &amp; Development</v>
      </c>
      <c r="K17" s="19">
        <f>IFERROR(VLOOKUP(C17,Source!C16:F50,MATCH(Source!F15,Source!C15:F15,0)),"Retired")</f>
        <v>37000</v>
      </c>
    </row>
    <row r="18" spans="3:11" ht="14.25" customHeight="1">
      <c r="C18" s="2">
        <v>150888</v>
      </c>
      <c r="D18" s="10" t="s">
        <v>57</v>
      </c>
      <c r="E18" s="11" t="s">
        <v>58</v>
      </c>
      <c r="F18" s="15">
        <v>31005</v>
      </c>
      <c r="G18" s="4" t="s">
        <v>15</v>
      </c>
      <c r="H18" s="3" t="s">
        <v>9</v>
      </c>
      <c r="I18" s="19" t="str">
        <f>IFERROR(VLOOKUP(C18,Source!C17:F51,MATCH(Source!E16,Source!C16:F16,0)),"Retired")</f>
        <v>East</v>
      </c>
      <c r="J18" s="5" t="str">
        <f>IFERROR(VLOOKUP(C18,Source!C17:F51,MATCH(Source!D16,Source!C16:F16,0)),"Retired")</f>
        <v>Learning &amp; Development</v>
      </c>
      <c r="K18" s="19">
        <f>IFERROR(VLOOKUP(C18,Source!C17:F51,MATCH(Source!F16,Source!C16:F16,0)),"Retired")</f>
        <v>43000</v>
      </c>
    </row>
    <row r="19" spans="3:11" ht="14.25" customHeight="1">
      <c r="C19" s="2">
        <v>150865</v>
      </c>
      <c r="D19" s="10" t="s">
        <v>59</v>
      </c>
      <c r="E19" s="11" t="s">
        <v>60</v>
      </c>
      <c r="F19" s="15">
        <v>32532</v>
      </c>
      <c r="G19" s="4" t="s">
        <v>8</v>
      </c>
      <c r="H19" s="3" t="s">
        <v>9</v>
      </c>
      <c r="I19" s="19" t="str">
        <f>IFERROR(VLOOKUP(C19,Source!C18:F52,MATCH(Source!E17,Source!C17:F17,0)),"Retired")</f>
        <v>East</v>
      </c>
      <c r="J19" s="5" t="str">
        <f>IFERROR(VLOOKUP(C19,Source!C18:F52,MATCH(Source!D17,Source!C17:F17,0)),"Retired")</f>
        <v>CEO</v>
      </c>
      <c r="K19" s="19">
        <f>IFERROR(VLOOKUP(C19,Source!C18:F52,MATCH(Source!F17,Source!C17:F17,0)),"Retired")</f>
        <v>90000</v>
      </c>
    </row>
    <row r="20" spans="3:11" ht="14.25" customHeight="1">
      <c r="C20" s="2">
        <v>150858</v>
      </c>
      <c r="D20" s="10" t="s">
        <v>61</v>
      </c>
      <c r="E20" s="11" t="s">
        <v>62</v>
      </c>
      <c r="F20" s="15">
        <v>33792</v>
      </c>
      <c r="G20" s="4" t="s">
        <v>15</v>
      </c>
      <c r="H20" s="3" t="s">
        <v>9</v>
      </c>
      <c r="I20" s="19" t="str">
        <f>IFERROR(VLOOKUP(C20,Source!C19:F53,MATCH(Source!E18,Source!C18:F18,0)),"Retired")</f>
        <v>Retired</v>
      </c>
      <c r="J20" s="5" t="str">
        <f>IFERROR(VLOOKUP(C20,Source!C19:F53,MATCH(Source!D18,Source!C18:F18,0)),"Retired")</f>
        <v>Retired</v>
      </c>
      <c r="K20" s="19" t="str">
        <f>IFERROR(VLOOKUP(C20,Source!C19:F53,MATCH(Source!F18,Source!C18:F18,0)),"Retired")</f>
        <v>Retired</v>
      </c>
    </row>
    <row r="21" spans="3:11" ht="14.25" customHeight="1">
      <c r="C21" s="2">
        <v>150930</v>
      </c>
      <c r="D21" s="10" t="s">
        <v>63</v>
      </c>
      <c r="E21" s="11" t="s">
        <v>64</v>
      </c>
      <c r="F21" s="15">
        <v>29507</v>
      </c>
      <c r="G21" s="4" t="s">
        <v>15</v>
      </c>
      <c r="H21" s="3" t="s">
        <v>9</v>
      </c>
      <c r="I21" s="19" t="str">
        <f>IFERROR(VLOOKUP(C21,Source!C20:F54,MATCH(Source!E19,Source!C19:F19,0)),"Retired")</f>
        <v>South</v>
      </c>
      <c r="J21" s="5" t="str">
        <f>IFERROR(VLOOKUP(C21,Source!C20:F54,MATCH(Source!D19,Source!C19:F19,0)),"Retired")</f>
        <v>Digital Marketing</v>
      </c>
      <c r="K21" s="19">
        <f>IFERROR(VLOOKUP(C21,Source!C20:F54,MATCH(Source!F19,Source!C19:F19,0)),"Retired")</f>
        <v>82000</v>
      </c>
    </row>
    <row r="22" spans="3:11" ht="14.25" customHeight="1">
      <c r="C22" s="2">
        <v>150894</v>
      </c>
      <c r="D22" s="10" t="s">
        <v>65</v>
      </c>
      <c r="E22" s="11" t="s">
        <v>66</v>
      </c>
      <c r="F22" s="15">
        <v>35576</v>
      </c>
      <c r="G22" s="4" t="s">
        <v>15</v>
      </c>
      <c r="H22" s="3" t="s">
        <v>9</v>
      </c>
      <c r="I22" s="19" t="str">
        <f>IFERROR(VLOOKUP(C22,Source!C21:F55,MATCH(Source!E20,Source!C20:F20,0)),"Retired")</f>
        <v>South</v>
      </c>
      <c r="J22" s="5" t="str">
        <f>IFERROR(VLOOKUP(C22,Source!C21:F55,MATCH(Source!D20,Source!C20:F20,0)),"Retired")</f>
        <v>Inside Sales</v>
      </c>
      <c r="K22" s="19">
        <f>IFERROR(VLOOKUP(C22,Source!C21:F55,MATCH(Source!F20,Source!C20:F20,0)),"Retired")</f>
        <v>67000</v>
      </c>
    </row>
    <row r="23" spans="3:11" ht="14.25" customHeight="1">
      <c r="C23" s="2">
        <v>150947</v>
      </c>
      <c r="D23" s="10" t="s">
        <v>67</v>
      </c>
      <c r="E23" s="11" t="s">
        <v>68</v>
      </c>
      <c r="F23" s="15">
        <v>31261</v>
      </c>
      <c r="G23" s="4" t="s">
        <v>8</v>
      </c>
      <c r="H23" s="3" t="s">
        <v>9</v>
      </c>
      <c r="I23" s="19" t="str">
        <f>IFERROR(VLOOKUP(C23,Source!C22:F56,MATCH(Source!E21,Source!C21:F21,0)),"Retired")</f>
        <v>South</v>
      </c>
      <c r="J23" s="5" t="str">
        <f>IFERROR(VLOOKUP(C23,Source!C22:F56,MATCH(Source!D21,Source!C21:F21,0)),"Retired")</f>
        <v>CCD</v>
      </c>
      <c r="K23" s="19">
        <f>IFERROR(VLOOKUP(C23,Source!C22:F56,MATCH(Source!F21,Source!C21:F21,0)),"Retired")</f>
        <v>85000</v>
      </c>
    </row>
    <row r="24" spans="3:11" ht="14.25" customHeight="1">
      <c r="C24" s="2">
        <v>150905</v>
      </c>
      <c r="D24" s="10" t="s">
        <v>69</v>
      </c>
      <c r="E24" s="11" t="s">
        <v>70</v>
      </c>
      <c r="F24" s="15">
        <v>34018</v>
      </c>
      <c r="G24" s="4" t="s">
        <v>8</v>
      </c>
      <c r="H24" s="3" t="s">
        <v>12</v>
      </c>
      <c r="I24" s="19" t="str">
        <f>IFERROR(VLOOKUP(C24,Source!C23:F57,MATCH(Source!E22,Source!C22:F22,0)),"Retired")</f>
        <v>South</v>
      </c>
      <c r="J24" s="5" t="str">
        <f>IFERROR(VLOOKUP(C24,Source!C23:F57,MATCH(Source!D22,Source!C22:F22,0)),"Retired")</f>
        <v>FLM</v>
      </c>
      <c r="K24" s="19">
        <f>IFERROR(VLOOKUP(C24,Source!C23:F57,MATCH(Source!F22,Source!C22:F22,0)),"Retired")</f>
        <v>62000</v>
      </c>
    </row>
    <row r="25" spans="3:11" ht="14.25" customHeight="1">
      <c r="C25" s="2">
        <v>150995</v>
      </c>
      <c r="D25" s="10" t="s">
        <v>71</v>
      </c>
      <c r="E25" s="11" t="s">
        <v>72</v>
      </c>
      <c r="F25" s="15">
        <v>28762</v>
      </c>
      <c r="G25" s="4" t="s">
        <v>15</v>
      </c>
      <c r="H25" s="3" t="s">
        <v>9</v>
      </c>
      <c r="I25" s="19" t="str">
        <f>IFERROR(VLOOKUP(C25,Source!C24:F58,MATCH(Source!E23,Source!C23:F23,0)),"Retired")</f>
        <v>Mid West</v>
      </c>
      <c r="J25" s="5" t="str">
        <f>IFERROR(VLOOKUP(C25,Source!C24:F58,MATCH(Source!D23,Source!C23:F23,0)),"Retired")</f>
        <v>Inside Sales</v>
      </c>
      <c r="K25" s="19">
        <f>IFERROR(VLOOKUP(C25,Source!C24:F58,MATCH(Source!F23,Source!C23:F23,0)),"Retired")</f>
        <v>15000</v>
      </c>
    </row>
    <row r="26" spans="3:11" ht="14.25" customHeight="1">
      <c r="C26" s="2">
        <v>150912</v>
      </c>
      <c r="D26" s="10" t="s">
        <v>73</v>
      </c>
      <c r="E26" s="11" t="s">
        <v>74</v>
      </c>
      <c r="F26" s="15">
        <v>34680</v>
      </c>
      <c r="G26" s="4" t="s">
        <v>8</v>
      </c>
      <c r="H26" s="3" t="s">
        <v>9</v>
      </c>
      <c r="I26" s="19" t="str">
        <f>IFERROR(VLOOKUP(C26,Source!C25:F59,MATCH(Source!E24,Source!C24:F24,0)),"Retired")</f>
        <v>South</v>
      </c>
      <c r="J26" s="5" t="str">
        <f>IFERROR(VLOOKUP(C26,Source!C25:F59,MATCH(Source!D24,Source!C24:F24,0)),"Retired")</f>
        <v>Operations</v>
      </c>
      <c r="K26" s="19">
        <f>IFERROR(VLOOKUP(C26,Source!C25:F59,MATCH(Source!F24,Source!C24:F24,0)),"Retired")</f>
        <v>81000</v>
      </c>
    </row>
    <row r="27" spans="3:11" ht="14.25" customHeight="1">
      <c r="C27" s="2">
        <v>150921</v>
      </c>
      <c r="D27" s="10" t="s">
        <v>75</v>
      </c>
      <c r="E27" s="11" t="s">
        <v>76</v>
      </c>
      <c r="F27" s="15">
        <v>32208</v>
      </c>
      <c r="G27" s="4" t="s">
        <v>15</v>
      </c>
      <c r="H27" s="3" t="s">
        <v>9</v>
      </c>
      <c r="I27" s="19" t="str">
        <f>IFERROR(VLOOKUP(C27,Source!C26:F60,MATCH(Source!E25,Source!C25:F25,0)),"Retired")</f>
        <v>South</v>
      </c>
      <c r="J27" s="5" t="str">
        <f>IFERROR(VLOOKUP(C27,Source!C26:F60,MATCH(Source!D25,Source!C25:F25,0)),"Retired")</f>
        <v>Finance</v>
      </c>
      <c r="K27" s="19">
        <f>IFERROR(VLOOKUP(C27,Source!C26:F60,MATCH(Source!F25,Source!C25:F25,0)),"Retired")</f>
        <v>19000</v>
      </c>
    </row>
    <row r="28" spans="3:11" ht="14.25" customHeight="1">
      <c r="C28" s="2">
        <v>150851</v>
      </c>
      <c r="D28" s="10" t="s">
        <v>77</v>
      </c>
      <c r="E28" s="11" t="s">
        <v>78</v>
      </c>
      <c r="F28" s="15">
        <v>33045</v>
      </c>
      <c r="G28" s="4" t="s">
        <v>15</v>
      </c>
      <c r="H28" s="3" t="s">
        <v>12</v>
      </c>
      <c r="I28" s="19" t="str">
        <f>IFERROR(VLOOKUP(C28,Source!C27:F61,MATCH(Source!E26,Source!C26:F26,0)),"Retired")</f>
        <v>Retired</v>
      </c>
      <c r="J28" s="5" t="str">
        <f>IFERROR(VLOOKUP(C28,Source!C27:F61,MATCH(Source!D26,Source!C26:F26,0)),"Retired")</f>
        <v>Retired</v>
      </c>
      <c r="K28" s="19" t="str">
        <f>IFERROR(VLOOKUP(C28,Source!C27:F61,MATCH(Source!F26,Source!C26:F26,0)),"Retired")</f>
        <v>Retired</v>
      </c>
    </row>
    <row r="29" spans="3:11" ht="14.25" customHeight="1">
      <c r="C29" s="2">
        <v>150867</v>
      </c>
      <c r="D29" s="10" t="s">
        <v>79</v>
      </c>
      <c r="E29" s="11" t="s">
        <v>80</v>
      </c>
      <c r="F29" s="15">
        <v>30178</v>
      </c>
      <c r="G29" s="4" t="s">
        <v>8</v>
      </c>
      <c r="H29" s="3" t="s">
        <v>12</v>
      </c>
      <c r="I29" s="19" t="str">
        <f>IFERROR(VLOOKUP(C29,Source!C28:F62,MATCH(Source!E27,Source!C27:F27,0)),"Retired")</f>
        <v>Retired</v>
      </c>
      <c r="J29" s="5" t="str">
        <f>IFERROR(VLOOKUP(C29,Source!C28:F62,MATCH(Source!D27,Source!C27:F27,0)),"Retired")</f>
        <v>Retired</v>
      </c>
      <c r="K29" s="19" t="str">
        <f>IFERROR(VLOOKUP(C29,Source!C28:F62,MATCH(Source!F27,Source!C27:F27,0)),"Retired")</f>
        <v>Retired</v>
      </c>
    </row>
    <row r="30" spans="3:11" ht="14.25" customHeight="1">
      <c r="C30" s="2">
        <v>150899</v>
      </c>
      <c r="D30" s="10" t="s">
        <v>81</v>
      </c>
      <c r="E30" s="11" t="s">
        <v>82</v>
      </c>
      <c r="F30" s="15">
        <v>36168</v>
      </c>
      <c r="G30" s="4" t="s">
        <v>15</v>
      </c>
      <c r="H30" s="3" t="s">
        <v>9</v>
      </c>
      <c r="I30" s="19" t="str">
        <f>IFERROR(VLOOKUP(C30,Source!C29:F63,MATCH(Source!E28,Source!C28:F28,0)),"Retired")</f>
        <v>Retired</v>
      </c>
      <c r="J30" s="5" t="str">
        <f>IFERROR(VLOOKUP(C30,Source!C29:F63,MATCH(Source!D28,Source!C28:F28,0)),"Retired")</f>
        <v>Retired</v>
      </c>
      <c r="K30" s="19" t="str">
        <f>IFERROR(VLOOKUP(C30,Source!C29:F63,MATCH(Source!F28,Source!C28:F28,0)),"Retired")</f>
        <v>Retired</v>
      </c>
    </row>
    <row r="31" spans="3:11" ht="14.25" customHeight="1">
      <c r="C31" s="2">
        <v>150975</v>
      </c>
      <c r="D31" s="10" t="s">
        <v>83</v>
      </c>
      <c r="E31" s="11" t="s">
        <v>84</v>
      </c>
      <c r="F31" s="15">
        <v>30795</v>
      </c>
      <c r="G31" s="4" t="s">
        <v>15</v>
      </c>
      <c r="H31" s="3" t="s">
        <v>9</v>
      </c>
      <c r="I31" s="19" t="str">
        <f>IFERROR(VLOOKUP(C31,Source!C30:F64,MATCH(Source!E29,Source!C29:F29,0)),"Retired")</f>
        <v>Mid West</v>
      </c>
      <c r="J31" s="5" t="str">
        <f>IFERROR(VLOOKUP(C31,Source!C30:F64,MATCH(Source!D29,Source!C29:F29,0)),"Retired")</f>
        <v>Finance</v>
      </c>
      <c r="K31" s="19">
        <f>IFERROR(VLOOKUP(C31,Source!C30:F64,MATCH(Source!F29,Source!C29:F29,0)),"Retired")</f>
        <v>83000</v>
      </c>
    </row>
    <row r="32" spans="3:11" ht="14.25" customHeight="1">
      <c r="C32" s="2">
        <v>150901</v>
      </c>
      <c r="D32" s="10" t="s">
        <v>85</v>
      </c>
      <c r="E32" s="11" t="s">
        <v>86</v>
      </c>
      <c r="F32" s="15">
        <v>33429</v>
      </c>
      <c r="G32" s="4" t="s">
        <v>8</v>
      </c>
      <c r="H32" s="3" t="s">
        <v>9</v>
      </c>
      <c r="I32" s="19" t="str">
        <f>IFERROR(VLOOKUP(C32,Source!C31:F65,MATCH(Source!E30,Source!C30:F30,0)),"Retired")</f>
        <v>Retired</v>
      </c>
      <c r="J32" s="5" t="str">
        <f>IFERROR(VLOOKUP(C32,Source!C31:F65,MATCH(Source!D30,Source!C30:F30,0)),"Retired")</f>
        <v>Retired</v>
      </c>
      <c r="K32" s="19" t="str">
        <f>IFERROR(VLOOKUP(C32,Source!C31:F65,MATCH(Source!F30,Source!C30:F30,0)),"Retired")</f>
        <v>Retired</v>
      </c>
    </row>
    <row r="33" spans="3:11" ht="14.25" customHeight="1">
      <c r="C33" s="2">
        <v>150968</v>
      </c>
      <c r="D33" s="10" t="s">
        <v>87</v>
      </c>
      <c r="E33" s="11" t="s">
        <v>88</v>
      </c>
      <c r="F33" s="15">
        <v>31716</v>
      </c>
      <c r="G33" s="4" t="s">
        <v>15</v>
      </c>
      <c r="H33" s="3" t="s">
        <v>9</v>
      </c>
      <c r="I33" s="19" t="str">
        <f>IFERROR(VLOOKUP(C33,Source!C32:F66,MATCH(Source!E31,Source!C31:F31,0)),"Retired")</f>
        <v>South</v>
      </c>
      <c r="J33" s="5" t="str">
        <f>IFERROR(VLOOKUP(C33,Source!C32:F66,MATCH(Source!D31,Source!C31:F31,0)),"Retired")</f>
        <v>Operations</v>
      </c>
      <c r="K33" s="19">
        <f>IFERROR(VLOOKUP(C33,Source!C32:F66,MATCH(Source!F31,Source!C31:F31,0)),"Retired")</f>
        <v>65000</v>
      </c>
    </row>
    <row r="34" spans="3:11" ht="14.25" customHeight="1">
      <c r="C34" s="2">
        <v>150773</v>
      </c>
      <c r="D34" s="10" t="s">
        <v>89</v>
      </c>
      <c r="E34" s="11" t="s">
        <v>90</v>
      </c>
      <c r="F34" s="15">
        <v>34734</v>
      </c>
      <c r="G34" s="4" t="s">
        <v>15</v>
      </c>
      <c r="H34" s="3" t="s">
        <v>9</v>
      </c>
      <c r="I34" s="19" t="str">
        <f>IFERROR(VLOOKUP(C34,Source!C33:F67,MATCH(Source!E32,Source!C32:F32,0)),"Retired")</f>
        <v>Retired</v>
      </c>
      <c r="J34" s="5" t="str">
        <f>IFERROR(VLOOKUP(C34,Source!C33:F67,MATCH(Source!D32,Source!C32:F32,0)),"Retired")</f>
        <v>Retired</v>
      </c>
      <c r="K34" s="19" t="str">
        <f>IFERROR(VLOOKUP(C34,Source!C33:F67,MATCH(Source!F32,Source!C32:F32,0)),"Retired")</f>
        <v>Retired</v>
      </c>
    </row>
    <row r="35" spans="3:11" ht="14.25" customHeight="1">
      <c r="C35" s="2">
        <v>150840</v>
      </c>
      <c r="D35" s="10" t="s">
        <v>91</v>
      </c>
      <c r="E35" s="11" t="s">
        <v>80</v>
      </c>
      <c r="F35" s="15">
        <v>30576</v>
      </c>
      <c r="G35" s="4" t="s">
        <v>8</v>
      </c>
      <c r="H35" s="3" t="s">
        <v>9</v>
      </c>
      <c r="I35" s="19" t="str">
        <f>IFERROR(VLOOKUP(C35,Source!C34:F68,MATCH(Source!E33,Source!C33:F33,0)),"Retired")</f>
        <v>Retired</v>
      </c>
      <c r="J35" s="5" t="str">
        <f>IFERROR(VLOOKUP(C35,Source!C34:F68,MATCH(Source!D33,Source!C33:F33,0)),"Retired")</f>
        <v>Retired</v>
      </c>
      <c r="K35" s="19" t="str">
        <f>IFERROR(VLOOKUP(C35,Source!C34:F68,MATCH(Source!F33,Source!C33:F33,0)),"Retired")</f>
        <v>Retired</v>
      </c>
    </row>
    <row r="36" spans="3:11" ht="14.25" customHeight="1">
      <c r="C36" s="2">
        <v>150850</v>
      </c>
      <c r="D36" s="10" t="s">
        <v>92</v>
      </c>
      <c r="E36" s="11" t="s">
        <v>93</v>
      </c>
      <c r="F36" s="15">
        <v>29184</v>
      </c>
      <c r="G36" s="4" t="s">
        <v>15</v>
      </c>
      <c r="H36" s="3" t="s">
        <v>9</v>
      </c>
      <c r="I36" s="19" t="str">
        <f>IFERROR(VLOOKUP(C36,Source!C35:F69,MATCH(Source!E34,Source!C34:F34,0)),"Retired")</f>
        <v>Retired</v>
      </c>
      <c r="J36" s="5" t="str">
        <f>IFERROR(VLOOKUP(C36,Source!C35:F69,MATCH(Source!D34,Source!C34:F34,0)),"Retired")</f>
        <v>Retired</v>
      </c>
      <c r="K36" s="19" t="str">
        <f>IFERROR(VLOOKUP(C36,Source!C35:F69,MATCH(Source!F34,Source!C34:F34,0)),"Retired")</f>
        <v>Retired</v>
      </c>
    </row>
    <row r="37" spans="3:11" ht="14.25" customHeight="1">
      <c r="C37" s="2">
        <v>150962</v>
      </c>
      <c r="D37" s="10" t="s">
        <v>94</v>
      </c>
      <c r="E37" s="11" t="s">
        <v>95</v>
      </c>
      <c r="F37" s="15">
        <v>35955</v>
      </c>
      <c r="G37" s="4" t="s">
        <v>8</v>
      </c>
      <c r="H37" s="3" t="s">
        <v>9</v>
      </c>
      <c r="I37" s="19" t="str">
        <f>IFERROR(VLOOKUP(C37,Source!C36:F70,MATCH(Source!E35,Source!C35:F35,0)),"Retired")</f>
        <v>Retired</v>
      </c>
      <c r="J37" s="5" t="str">
        <f>IFERROR(VLOOKUP(C37,Source!C36:F70,MATCH(Source!D35,Source!C35:F35,0)),"Retired")</f>
        <v>Retired</v>
      </c>
      <c r="K37" s="19" t="str">
        <f>IFERROR(VLOOKUP(C37,Source!C36:F70,MATCH(Source!F35,Source!C35:F35,0)),"Retired")</f>
        <v>Retired</v>
      </c>
    </row>
    <row r="38" spans="3:11" ht="14.25" customHeight="1">
      <c r="C38" s="2">
        <v>150954</v>
      </c>
      <c r="D38" s="10" t="s">
        <v>52</v>
      </c>
      <c r="E38" s="11" t="s">
        <v>96</v>
      </c>
      <c r="F38" s="15">
        <v>31856</v>
      </c>
      <c r="G38" s="4" t="s">
        <v>8</v>
      </c>
      <c r="H38" s="3" t="s">
        <v>9</v>
      </c>
      <c r="I38" s="19" t="str">
        <f>IFERROR(VLOOKUP(C38,Source!C37:F71,MATCH(Source!E36,Source!C36:F36,0)),"Retired")</f>
        <v>Retired</v>
      </c>
      <c r="J38" s="5" t="str">
        <f>IFERROR(VLOOKUP(C38,Source!C37:F71,MATCH(Source!D36,Source!C36:F36,0)),"Retired")</f>
        <v>Retired</v>
      </c>
      <c r="K38" s="19" t="str">
        <f>IFERROR(VLOOKUP(C38,Source!C37:F71,MATCH(Source!F36,Source!C36:F36,0)),"Retired")</f>
        <v>Retired</v>
      </c>
    </row>
    <row r="39" spans="3:11" ht="14.25" customHeight="1">
      <c r="C39" s="2">
        <v>150874</v>
      </c>
      <c r="D39" s="10" t="s">
        <v>97</v>
      </c>
      <c r="E39" s="11" t="s">
        <v>98</v>
      </c>
      <c r="F39" s="15">
        <v>29812</v>
      </c>
      <c r="G39" s="4" t="s">
        <v>8</v>
      </c>
      <c r="H39" s="3" t="s">
        <v>9</v>
      </c>
      <c r="I39" s="19" t="str">
        <f>IFERROR(VLOOKUP(C39,Source!C38:F72,MATCH(Source!E37,Source!C37:F37,0)),"Retired")</f>
        <v>Retired</v>
      </c>
      <c r="J39" s="5" t="str">
        <f>IFERROR(VLOOKUP(C39,Source!C38:F72,MATCH(Source!D37,Source!C37:F37,0)),"Retired")</f>
        <v>Retired</v>
      </c>
      <c r="K39" s="19" t="str">
        <f>IFERROR(VLOOKUP(C39,Source!C38:F72,MATCH(Source!F37,Source!C37:F37,0)),"Retired")</f>
        <v>Retired</v>
      </c>
    </row>
    <row r="40" spans="3:11" ht="14.25" customHeight="1">
      <c r="C40" s="2">
        <v>150798</v>
      </c>
      <c r="D40" s="10" t="s">
        <v>99</v>
      </c>
      <c r="E40" s="11" t="s">
        <v>100</v>
      </c>
      <c r="F40" s="15">
        <v>35427</v>
      </c>
      <c r="G40" s="4" t="s">
        <v>8</v>
      </c>
      <c r="H40" s="3" t="s">
        <v>9</v>
      </c>
      <c r="I40" s="19" t="str">
        <f>IFERROR(VLOOKUP(C40,Source!C39:F73,MATCH(Source!E38,Source!C38:F38,0)),"Retired")</f>
        <v>Retired</v>
      </c>
      <c r="J40" s="5" t="str">
        <f>IFERROR(VLOOKUP(C40,Source!C39:F73,MATCH(Source!D38,Source!C38:F38,0)),"Retired")</f>
        <v>Retired</v>
      </c>
      <c r="K40" s="19" t="str">
        <f>IFERROR(VLOOKUP(C40,Source!C39:F73,MATCH(Source!F38,Source!C38:F38,0)),"Retired")</f>
        <v>Retired</v>
      </c>
    </row>
    <row r="41" spans="3:11" ht="14.25" customHeight="1">
      <c r="C41" s="2">
        <v>150830</v>
      </c>
      <c r="D41" s="10" t="s">
        <v>101</v>
      </c>
      <c r="E41" s="11" t="s">
        <v>102</v>
      </c>
      <c r="F41" s="15">
        <v>32631</v>
      </c>
      <c r="G41" s="4" t="s">
        <v>8</v>
      </c>
      <c r="H41" s="3" t="s">
        <v>9</v>
      </c>
      <c r="I41" s="19" t="str">
        <f>IFERROR(VLOOKUP(C41,Source!C40:F74,MATCH(Source!E39,Source!C39:F39,0)),"Retired")</f>
        <v>Retired</v>
      </c>
      <c r="J41" s="5" t="str">
        <f>IFERROR(VLOOKUP(C41,Source!C40:F74,MATCH(Source!D39,Source!C39:F39,0)),"Retired")</f>
        <v>Retired</v>
      </c>
      <c r="K41" s="19" t="str">
        <f>IFERROR(VLOOKUP(C41,Source!C40:F74,MATCH(Source!F39,Source!C39:F39,0)),"Retired")</f>
        <v>Retired</v>
      </c>
    </row>
    <row r="42" spans="3:11" ht="14.25" customHeight="1">
      <c r="C42" s="2">
        <v>150929</v>
      </c>
      <c r="D42" s="10" t="s">
        <v>103</v>
      </c>
      <c r="E42" s="11" t="s">
        <v>104</v>
      </c>
      <c r="F42" s="15">
        <v>33801</v>
      </c>
      <c r="G42" s="4" t="s">
        <v>15</v>
      </c>
      <c r="H42" s="3" t="s">
        <v>9</v>
      </c>
      <c r="I42" s="19" t="str">
        <f>IFERROR(VLOOKUP(C42,Source!C41:F75,MATCH(Source!E40,Source!C40:F40,0)),"Retired")</f>
        <v>Retired</v>
      </c>
      <c r="J42" s="5" t="str">
        <f>IFERROR(VLOOKUP(C42,Source!C41:F75,MATCH(Source!D40,Source!C40:F40,0)),"Retired")</f>
        <v>Retired</v>
      </c>
      <c r="K42" s="19" t="str">
        <f>IFERROR(VLOOKUP(C42,Source!C41:F75,MATCH(Source!F40,Source!C40:F40,0)),"Retired")</f>
        <v>Retired</v>
      </c>
    </row>
    <row r="43" spans="3:11" ht="14.25" customHeight="1">
      <c r="C43" s="2">
        <v>150982</v>
      </c>
      <c r="D43" s="10" t="s">
        <v>105</v>
      </c>
      <c r="E43" s="11" t="s">
        <v>106</v>
      </c>
      <c r="F43" s="15">
        <v>31342</v>
      </c>
      <c r="G43" s="4" t="s">
        <v>15</v>
      </c>
      <c r="H43" s="3" t="s">
        <v>9</v>
      </c>
      <c r="I43" s="19" t="str">
        <f>IFERROR(VLOOKUP(C43,Source!C42:F76,MATCH(Source!E41,Source!C41:F41,0)),"Retired")</f>
        <v>Retired</v>
      </c>
      <c r="J43" s="5" t="str">
        <f>IFERROR(VLOOKUP(C43,Source!C42:F76,MATCH(Source!D41,Source!C41:F41,0)),"Retired")</f>
        <v>Retired</v>
      </c>
      <c r="K43" s="19" t="str">
        <f>IFERROR(VLOOKUP(C43,Source!C42:F76,MATCH(Source!F41,Source!C41:F41,0)),"Retired")</f>
        <v>Retired</v>
      </c>
    </row>
    <row r="44" spans="3:11" ht="14.25" customHeight="1">
      <c r="C44" s="2">
        <v>150821</v>
      </c>
      <c r="D44" s="10" t="s">
        <v>107</v>
      </c>
      <c r="E44" s="11" t="s">
        <v>108</v>
      </c>
      <c r="F44" s="12">
        <v>29966</v>
      </c>
      <c r="G44" s="4" t="s">
        <v>15</v>
      </c>
      <c r="H44" s="3" t="s">
        <v>12</v>
      </c>
      <c r="I44" s="19" t="str">
        <f>IFERROR(VLOOKUP(C44,Source!C43:F77,MATCH(Source!E42,Source!C42:F42,0)),"Retired")</f>
        <v>Retired</v>
      </c>
      <c r="J44" s="5" t="str">
        <f>IFERROR(VLOOKUP(C44,Source!C43:F77,MATCH(Source!D42,Source!C42:F42,0)),"Retired")</f>
        <v>Retired</v>
      </c>
      <c r="K44" s="19" t="str">
        <f>IFERROR(VLOOKUP(C44,Source!C43:F77,MATCH(Source!F42,Source!C42:F42,0)),"Retired")</f>
        <v>Retired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C1:F1000"/>
  <sheetViews>
    <sheetView topLeftCell="A13" workbookViewId="0">
      <selection activeCell="C6" sqref="C6"/>
    </sheetView>
  </sheetViews>
  <sheetFormatPr defaultColWidth="14.44140625" defaultRowHeight="15" customHeight="1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35</v>
      </c>
      <c r="D5" s="1" t="s">
        <v>5</v>
      </c>
      <c r="E5" s="1" t="s">
        <v>6</v>
      </c>
      <c r="F5" s="1" t="s">
        <v>7</v>
      </c>
    </row>
    <row r="6" spans="3:6" ht="14.25" customHeight="1">
      <c r="C6" s="2">
        <v>150773</v>
      </c>
      <c r="D6" s="3" t="s">
        <v>31</v>
      </c>
      <c r="E6" s="3" t="s">
        <v>11</v>
      </c>
      <c r="F6" s="5">
        <v>85000</v>
      </c>
    </row>
    <row r="7" spans="3:6" ht="14.25" customHeight="1">
      <c r="C7" s="2">
        <v>150777</v>
      </c>
      <c r="D7" s="3" t="s">
        <v>18</v>
      </c>
      <c r="E7" s="3" t="s">
        <v>11</v>
      </c>
      <c r="F7" s="5">
        <v>22000</v>
      </c>
    </row>
    <row r="8" spans="3:6" ht="14.25" customHeight="1">
      <c r="C8" s="2">
        <v>150784</v>
      </c>
      <c r="D8" s="3" t="s">
        <v>13</v>
      </c>
      <c r="E8" s="3" t="s">
        <v>11</v>
      </c>
      <c r="F8" s="5">
        <v>35000</v>
      </c>
    </row>
    <row r="9" spans="3:6" ht="14.25" customHeight="1">
      <c r="C9" s="2">
        <v>150791</v>
      </c>
      <c r="D9" s="3" t="s">
        <v>13</v>
      </c>
      <c r="E9" s="3" t="s">
        <v>11</v>
      </c>
      <c r="F9" s="5">
        <v>67000</v>
      </c>
    </row>
    <row r="10" spans="3:6" ht="14.25" customHeight="1">
      <c r="C10" s="2">
        <v>150798</v>
      </c>
      <c r="D10" s="3" t="s">
        <v>13</v>
      </c>
      <c r="E10" s="3" t="s">
        <v>11</v>
      </c>
      <c r="F10" s="5">
        <v>81000</v>
      </c>
    </row>
    <row r="11" spans="3:6" ht="14.25" customHeight="1">
      <c r="C11" s="2">
        <v>150805</v>
      </c>
      <c r="D11" s="3" t="s">
        <v>21</v>
      </c>
      <c r="E11" s="3" t="s">
        <v>11</v>
      </c>
      <c r="F11" s="5">
        <v>91000</v>
      </c>
    </row>
    <row r="12" spans="3:6" ht="14.25" customHeight="1">
      <c r="C12" s="2">
        <v>150814</v>
      </c>
      <c r="D12" s="3" t="s">
        <v>16</v>
      </c>
      <c r="E12" s="3" t="s">
        <v>11</v>
      </c>
      <c r="F12" s="5">
        <v>50000</v>
      </c>
    </row>
    <row r="13" spans="3:6" ht="14.25" customHeight="1">
      <c r="C13" s="2">
        <v>150821</v>
      </c>
      <c r="D13" s="3" t="s">
        <v>29</v>
      </c>
      <c r="E13" s="3" t="s">
        <v>11</v>
      </c>
      <c r="F13" s="5">
        <v>26000</v>
      </c>
    </row>
    <row r="14" spans="3:6" ht="14.25" customHeight="1">
      <c r="C14" s="2">
        <v>150830</v>
      </c>
      <c r="D14" s="3" t="s">
        <v>32</v>
      </c>
      <c r="E14" s="3" t="s">
        <v>11</v>
      </c>
      <c r="F14" s="5">
        <v>52000</v>
      </c>
    </row>
    <row r="15" spans="3:6" ht="14.25" customHeight="1">
      <c r="C15" s="2">
        <v>150834</v>
      </c>
      <c r="D15" s="3" t="s">
        <v>10</v>
      </c>
      <c r="E15" s="3" t="s">
        <v>11</v>
      </c>
      <c r="F15" s="5">
        <v>48000</v>
      </c>
    </row>
    <row r="16" spans="3:6" ht="14.25" customHeight="1">
      <c r="C16" s="2">
        <v>150840</v>
      </c>
      <c r="D16" s="3" t="s">
        <v>16</v>
      </c>
      <c r="E16" s="3" t="s">
        <v>27</v>
      </c>
      <c r="F16" s="5">
        <v>20000</v>
      </c>
    </row>
    <row r="17" spans="3:6" ht="14.25" customHeight="1">
      <c r="C17" s="2">
        <v>150850</v>
      </c>
      <c r="D17" s="3" t="s">
        <v>29</v>
      </c>
      <c r="E17" s="3" t="s">
        <v>27</v>
      </c>
      <c r="F17" s="5">
        <v>47000</v>
      </c>
    </row>
    <row r="18" spans="3:6" ht="14.25" customHeight="1">
      <c r="C18" s="2">
        <v>150851</v>
      </c>
      <c r="D18" s="3" t="s">
        <v>16</v>
      </c>
      <c r="E18" s="3" t="s">
        <v>27</v>
      </c>
      <c r="F18" s="5">
        <v>75000</v>
      </c>
    </row>
    <row r="19" spans="3:6" ht="14.25" customHeight="1">
      <c r="C19" s="2">
        <v>150865</v>
      </c>
      <c r="D19" s="3" t="s">
        <v>28</v>
      </c>
      <c r="E19" s="3" t="s">
        <v>27</v>
      </c>
      <c r="F19" s="5">
        <v>90000</v>
      </c>
    </row>
    <row r="20" spans="3:6" ht="14.25" customHeight="1">
      <c r="C20" s="2">
        <v>150867</v>
      </c>
      <c r="D20" s="3" t="s">
        <v>31</v>
      </c>
      <c r="E20" s="3" t="s">
        <v>27</v>
      </c>
      <c r="F20" s="5">
        <v>49000</v>
      </c>
    </row>
    <row r="21" spans="3:6" ht="14.25" customHeight="1">
      <c r="C21" s="2">
        <v>150874</v>
      </c>
      <c r="D21" s="3" t="s">
        <v>18</v>
      </c>
      <c r="E21" s="3" t="s">
        <v>27</v>
      </c>
      <c r="F21" s="5">
        <v>27000</v>
      </c>
    </row>
    <row r="22" spans="3:6" ht="14.25" customHeight="1">
      <c r="C22" s="2">
        <v>150881</v>
      </c>
      <c r="D22" s="3" t="s">
        <v>13</v>
      </c>
      <c r="E22" s="3" t="s">
        <v>27</v>
      </c>
      <c r="F22" s="5">
        <v>92000</v>
      </c>
    </row>
    <row r="23" spans="3:6" ht="14.25" customHeight="1">
      <c r="C23" s="2">
        <v>150888</v>
      </c>
      <c r="D23" s="3" t="s">
        <v>24</v>
      </c>
      <c r="E23" s="3" t="s">
        <v>27</v>
      </c>
      <c r="F23" s="5">
        <v>43000</v>
      </c>
    </row>
    <row r="24" spans="3:6" ht="14.25" customHeight="1">
      <c r="C24" s="2">
        <v>150894</v>
      </c>
      <c r="D24" s="3" t="s">
        <v>16</v>
      </c>
      <c r="E24" s="3" t="s">
        <v>17</v>
      </c>
      <c r="F24" s="5">
        <v>67000</v>
      </c>
    </row>
    <row r="25" spans="3:6" ht="14.25" customHeight="1">
      <c r="C25" s="2">
        <v>150901</v>
      </c>
      <c r="D25" s="3" t="s">
        <v>32</v>
      </c>
      <c r="E25" s="3" t="s">
        <v>17</v>
      </c>
      <c r="F25" s="5">
        <v>53000</v>
      </c>
    </row>
    <row r="26" spans="3:6" ht="14.25" customHeight="1">
      <c r="C26" s="2">
        <v>150905</v>
      </c>
      <c r="D26" s="3" t="s">
        <v>10</v>
      </c>
      <c r="E26" s="3" t="s">
        <v>17</v>
      </c>
      <c r="F26" s="5">
        <v>62000</v>
      </c>
    </row>
    <row r="27" spans="3:6" ht="14.25" customHeight="1">
      <c r="C27" s="2">
        <v>150912</v>
      </c>
      <c r="D27" s="3" t="s">
        <v>30</v>
      </c>
      <c r="E27" s="3" t="s">
        <v>17</v>
      </c>
      <c r="F27" s="5">
        <v>81000</v>
      </c>
    </row>
    <row r="28" spans="3:6" ht="14.25" customHeight="1">
      <c r="C28" s="2">
        <v>150921</v>
      </c>
      <c r="D28" s="3" t="s">
        <v>31</v>
      </c>
      <c r="E28" s="3" t="s">
        <v>17</v>
      </c>
      <c r="F28" s="5">
        <v>19000</v>
      </c>
    </row>
    <row r="29" spans="3:6" ht="14.25" customHeight="1">
      <c r="C29" s="2">
        <v>150929</v>
      </c>
      <c r="D29" s="3" t="s">
        <v>18</v>
      </c>
      <c r="E29" s="3" t="s">
        <v>17</v>
      </c>
      <c r="F29" s="5">
        <v>58000</v>
      </c>
    </row>
    <row r="30" spans="3:6" ht="14.25" customHeight="1">
      <c r="C30" s="2">
        <v>150930</v>
      </c>
      <c r="D30" s="3" t="s">
        <v>13</v>
      </c>
      <c r="E30" s="3" t="s">
        <v>17</v>
      </c>
      <c r="F30" s="5">
        <v>82000</v>
      </c>
    </row>
    <row r="31" spans="3:6" ht="14.25" customHeight="1">
      <c r="C31" s="2">
        <v>150937</v>
      </c>
      <c r="D31" s="3" t="s">
        <v>24</v>
      </c>
      <c r="E31" s="3" t="s">
        <v>17</v>
      </c>
      <c r="F31" s="5">
        <v>37000</v>
      </c>
    </row>
    <row r="32" spans="3:6" ht="14.25" customHeight="1">
      <c r="C32" s="2">
        <v>150940</v>
      </c>
      <c r="D32" s="3" t="s">
        <v>16</v>
      </c>
      <c r="E32" s="3" t="s">
        <v>17</v>
      </c>
      <c r="F32" s="5">
        <v>87000</v>
      </c>
    </row>
    <row r="33" spans="3:6" ht="14.25" customHeight="1">
      <c r="C33" s="2">
        <v>150947</v>
      </c>
      <c r="D33" s="3" t="s">
        <v>29</v>
      </c>
      <c r="E33" s="3" t="s">
        <v>17</v>
      </c>
      <c r="F33" s="5">
        <v>85000</v>
      </c>
    </row>
    <row r="34" spans="3:6" ht="14.25" customHeight="1">
      <c r="C34" s="2">
        <v>150962</v>
      </c>
      <c r="D34" s="3" t="s">
        <v>21</v>
      </c>
      <c r="E34" s="3" t="s">
        <v>17</v>
      </c>
      <c r="F34" s="5">
        <v>87000</v>
      </c>
    </row>
    <row r="35" spans="3:6" ht="14.25" customHeight="1">
      <c r="C35" s="2">
        <v>150968</v>
      </c>
      <c r="D35" s="3" t="s">
        <v>30</v>
      </c>
      <c r="E35" s="3" t="s">
        <v>17</v>
      </c>
      <c r="F35" s="5">
        <v>65000</v>
      </c>
    </row>
    <row r="36" spans="3:6" ht="14.25" customHeight="1">
      <c r="C36" s="2">
        <v>150975</v>
      </c>
      <c r="D36" s="3" t="s">
        <v>31</v>
      </c>
      <c r="E36" s="3" t="s">
        <v>25</v>
      </c>
      <c r="F36" s="5">
        <v>83000</v>
      </c>
    </row>
    <row r="37" spans="3:6" ht="14.25" customHeight="1">
      <c r="C37" s="2">
        <v>150982</v>
      </c>
      <c r="D37" s="3" t="s">
        <v>18</v>
      </c>
      <c r="E37" s="3" t="s">
        <v>25</v>
      </c>
      <c r="F37" s="5">
        <v>47000</v>
      </c>
    </row>
    <row r="38" spans="3:6" ht="14.25" customHeight="1">
      <c r="C38" s="2">
        <v>150989</v>
      </c>
      <c r="D38" s="3" t="s">
        <v>13</v>
      </c>
      <c r="E38" s="3" t="s">
        <v>25</v>
      </c>
      <c r="F38" s="5">
        <v>45000</v>
      </c>
    </row>
    <row r="39" spans="3:6" ht="14.25" customHeight="1">
      <c r="C39" s="2">
        <v>150990</v>
      </c>
      <c r="D39" s="3" t="s">
        <v>24</v>
      </c>
      <c r="E39" s="3" t="s">
        <v>25</v>
      </c>
      <c r="F39" s="5">
        <v>77000</v>
      </c>
    </row>
    <row r="40" spans="3:6" ht="14.25" customHeight="1">
      <c r="C40" s="2">
        <v>150995</v>
      </c>
      <c r="D40" s="3" t="s">
        <v>16</v>
      </c>
      <c r="E40" s="3" t="s">
        <v>25</v>
      </c>
      <c r="F40" s="5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Index&amp;Match</vt:lpstr>
      <vt:lpstr>Master Emp sheet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lokesh gudimetla</cp:lastModifiedBy>
  <dcterms:created xsi:type="dcterms:W3CDTF">2022-07-27T06:45:44Z</dcterms:created>
  <dcterms:modified xsi:type="dcterms:W3CDTF">2025-12-03T14:03:21Z</dcterms:modified>
</cp:coreProperties>
</file>